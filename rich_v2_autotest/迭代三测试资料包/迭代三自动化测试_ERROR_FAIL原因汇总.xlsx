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f0b165a60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f11b41ece2c4465"/>
    <x:sheet xmlns:r="http://schemas.openxmlformats.org/officeDocument/2006/relationships" name="问题明细" sheetId="2" r:id="Rce2b9436109f457f"/>
    <x:sheet xmlns:r="http://schemas.openxmlformats.org/officeDocument/2006/relationships" name="ERROR明细" sheetId="3" r:id="Ra00df7b6d603412e"/>
    <x:sheet xmlns:r="http://schemas.openxmlformats.org/officeDocument/2006/relationships" name="FAIL明细" sheetId="4" r:id="Rd2b3910304a045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6666"/>
      <x:name val="Carlito"/>
    </x:font>
    <x:font>
      <x:b/>
      <x:sz val="11"/>
      <x:color rgb="FFFFFFFF"/>
      <x:name val="Carlito"/>
    </x:font>
    <x:font>
      <x:b/>
      <x:sz val="16"/>
      <x:color rgb="FF17365D"/>
      <x:name val="Carlito"/>
    </x:font>
    <x:font>
      <x:b/>
      <x:sz val="15"/>
      <x:color rgb="FFC00000"/>
      <x:name val="Carlito"/>
    </x:font>
    <x:font>
      <x:sz val="10"/>
      <x:color rgb="FF222222"/>
      <x:name val="Carlito"/>
    </x:font>
    <x:font>
      <x:b/>
      <x:sz val="11"/>
      <x:color rgb="FF17365D"/>
      <x:name val="Carlito"/>
    </x:font>
    <x:font>
      <x:b/>
      <x:sz val="16"/>
      <x:color rgb="FFFFFFFF"/>
      <x:name val="Microsoft YaHei"/>
    </x:font>
    <x:font>
      <x:sz val="11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2F75B5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</x:fills>
  <x:borders count="8">
    <x:border/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  <x:bottom style="thin">
        <x:color rgb="FFD9E1F2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200" fontId="5" fillId="6" borderId="2" xfId="0" applyNumberFormat="1" applyFont="1" applyFill="1" applyBorder="1"/>
    <x:xf numFmtId="200" fontId="5" fillId="6" borderId="3" xfId="0" applyNumberFormat="1" applyFont="1" applyFill="1" applyBorder="1"/>
    <x:xf numFmtId="200" fontId="5" fillId="6" borderId="4" xfId="0" applyNumberFormat="1" applyFont="1" applyFill="1" applyBorder="1"/>
    <x:xf numFmtId="200" fontId="5" fillId="6" borderId="2" xfId="0" applyNumberFormat="1" applyFont="1" applyFill="1" applyBorder="1" applyAlignment="1">
      <x:alignment horizontal="center"/>
    </x:xf>
    <x:xf numFmtId="200" fontId="5" fillId="6" borderId="3" xfId="0" applyNumberFormat="1" applyFont="1" applyFill="1" applyBorder="1" applyAlignment="1">
      <x:alignment horizontal="center"/>
    </x:xf>
    <x:xf numFmtId="200" fontId="5" fillId="6" borderId="4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200" fontId="6" fillId="0" borderId="7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horizontal="right" vertical="top" wrapText="1"/>
    </x:xf>
    <x:xf numFmtId="200" fontId="6" fillId="0" borderId="6" xfId="0" applyNumberFormat="1" applyFont="1" applyFill="1" applyBorder="1" applyAlignment="1">
      <x:alignment horizontal="right" vertical="top" wrapText="1"/>
    </x:xf>
    <x:xf numFmtId="200" fontId="6" fillId="0" borderId="7" xfId="0" applyNumberFormat="1" applyFont="1" applyFill="1" applyBorder="1" applyAlignment="1">
      <x:alignment horizontal="right" vertical="top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6" fillId="0" borderId="7" xfId="0" applyNumberFormat="1" applyFont="1" applyFill="1" applyBorder="1" applyAlignment="1">
      <x:alignment vertical="top" wrapText="1"/>
    </x:xf>
    <x:xf numFmtId="201" fontId="6" fillId="0" borderId="5" xfId="0" applyNumberFormat="1" applyFont="1" applyFill="1" applyBorder="1" applyAlignment="1">
      <x:alignment horizontal="right" vertical="top" wrapText="1"/>
    </x:xf>
    <x:xf numFmtId="201" fontId="6" fillId="0" borderId="6" xfId="0" applyNumberFormat="1" applyFont="1" applyFill="1" applyBorder="1" applyAlignment="1">
      <x:alignment horizontal="right" vertical="top" wrapText="1"/>
    </x:xf>
    <x:xf numFmtId="201" fontId="6" fillId="0" borderId="7" xfId="0" applyNumberFormat="1" applyFont="1" applyFill="1" applyBorder="1" applyAlignment="1">
      <x:alignment horizontal="right" vertical="top" wrapText="1"/>
    </x:xf>
    <x:xf numFmtId="0" fontId="6" fillId="0" borderId="5" xfId="0" applyNumberFormat="1" applyFont="1" applyFill="1" applyBorder="1" applyAlignment="1">
      <x:alignment horizontal="center" vertical="top" wrapText="1"/>
    </x:xf>
    <x:xf numFmtId="0" fontId="6" fillId="0" borderId="6" xfId="0" applyNumberFormat="1" applyFont="1" applyFill="1" applyBorder="1" applyAlignment="1">
      <x:alignment horizontal="center"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3" borderId="4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/>
  </x:cellXfs>
  <x:cellStyles count="1">
    <x:cellStyle name="Normal" xfId="0"/>
  </x:cellStyles>
  <x:dxfs count="9"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f1887dc0c4b56" /><Relationship Type="http://schemas.openxmlformats.org/officeDocument/2006/relationships/theme" Target="/xl/theme/theme1.xml" Id="Ra3b4c26edf8244e9" /><Relationship Type="http://schemas.openxmlformats.org/officeDocument/2006/relationships/sharedStrings" Target="/xl/sharedStrings.xml" Id="R59fcd4497b034b72" /><Relationship Type="http://schemas.openxmlformats.org/officeDocument/2006/relationships/worksheet" Target="/xl/worksheets/sheet1.xml" Id="Rdf11b41ece2c4465" /><Relationship Type="http://schemas.openxmlformats.org/officeDocument/2006/relationships/worksheet" Target="/xl/worksheets/sheet2.xml" Id="Rce2b9436109f457f" /><Relationship Type="http://schemas.openxmlformats.org/officeDocument/2006/relationships/worksheet" Target="/xl/worksheets/sheet3.xml" Id="Ra00df7b6d603412e" /><Relationship Type="http://schemas.openxmlformats.org/officeDocument/2006/relationships/worksheet" Target="/xl/worksheets/sheet4.xml" Id="Rd2b3910304a04519" /></Relationships>
</file>

<file path=xl/tables/table1.xml><?xml version="1.0" encoding="utf-8"?>
<x:table xmlns:x="http://schemas.openxmlformats.org/spreadsheetml/2006/main" id="1" name="AllIssuesTable" displayName="AllIssuesTable" ref="A4:J57" headerRowCount="1" totalsRowCount="0" totalsRowShown="0">
  <x:autoFilter ref="A4:J57"/>
  <x:tableColumns count="10">
    <x:tableColumn id="1" name="序号"/>
    <x:tableColumn id="2" name="用例ID"/>
    <x:tableColumn id="3" name="结果"/>
    <x:tableColumn id="4" name="功能模块"/>
    <x:tableColumn id="5" name="直接现象/断言差异"/>
    <x:tableColumn id="6" name="根因分类"/>
    <x:tableColumn id="7" name="原因说明"/>
    <x:tableColumn id="8" name="责任归属"/>
    <x:tableColumn id="9" name="优先级"/>
    <x:tableColumn id="10" name="建议处理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sTable" displayName="ErrorsTable" ref="A4:J39" headerRowCount="1" totalsRowCount="0" totalsRowShown="0">
  <x:autoFilter ref="A4:J39"/>
  <x:tableColumns count="10">
    <x:tableColumn id="1" name="序号"/>
    <x:tableColumn id="2" name="用例ID"/>
    <x:tableColumn id="3" name="结果"/>
    <x:tableColumn id="4" name="功能模块"/>
    <x:tableColumn id="5" name="直接现象/断言差异"/>
    <x:tableColumn id="6" name="根因分类"/>
    <x:tableColumn id="7" name="原因说明"/>
    <x:tableColumn id="8" name="责任归属"/>
    <x:tableColumn id="9" name="优先级"/>
    <x:tableColumn id="10" name="建议处理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sTable" displayName="FailsTable" ref="A4:J22" headerRowCount="1" totalsRowCount="0" totalsRowShown="0">
  <x:autoFilter ref="A4:J22"/>
  <x:tableColumns count="10">
    <x:tableColumn id="1" name="序号"/>
    <x:tableColumn id="2" name="用例ID"/>
    <x:tableColumn id="3" name="结果"/>
    <x:tableColumn id="4" name="功能模块"/>
    <x:tableColumn id="5" name="直接现象/断言差异"/>
    <x:tableColumn id="6" name="根因分类"/>
    <x:tableColumn id="7" name="原因说明"/>
    <x:tableColumn id="8" name="责任归属"/>
    <x:tableColumn id="9" name="优先级"/>
    <x:tableColumn id="10" name="建议处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a14a3aa2f64f8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1b76a4125b4b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30a2eaf67840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24" hidden="0" customWidth="1"/>
    <x:col min="5" max="5" width="12" hidden="0" customWidth="1"/>
    <x:col min="6" max="6" width="46" hidden="0" customWidth="1"/>
  </x:cols>
  <x:sheetData>
    <x:row r="1" ht="34" customHeight="1">
      <x:c r="A1" s="71" t="str">
        <x:v>迭代三自动化测试 ERROR / FAIL 原因汇总</x:v>
      </x:c>
      <x:c r="B1" s="72"/>
      <x:c r="C1" s="72"/>
      <x:c r="D1" s="72"/>
      <x:c r="E1" s="72"/>
      <x:c r="F1" s="72"/>
    </x:row>
    <x:row r="2">
      <x:c r="A2" s="7" t="str">
        <x:v>依据：results_state_v2.json 与 results_interactive_v2.json；统计对象为最新版288条正向用例的一键回归结果</x:v>
      </x:c>
      <x:c r="B2" s="7"/>
      <x:c r="C2" s="7"/>
      <x:c r="D2" s="7"/>
      <x:c r="E2" s="7"/>
      <x:c r="F2" s="7"/>
    </x:row>
    <x:row r="4" ht="30" customHeight="1">
      <x:c r="A4" s="13" t="str">
        <x:v>STATE总数</x:v>
      </x:c>
      <x:c r="B4" s="13" t="str">
        <x:v>STATE通过</x:v>
      </x:c>
      <x:c r="C4" s="13" t="str">
        <x:v>STATE ERROR</x:v>
      </x:c>
      <x:c r="D4" s="13" t="str">
        <x:v>STATE FAIL</x:v>
      </x:c>
      <x:c r="E4" s="13" t="str">
        <x:v>INTERACTIVE总数</x:v>
      </x:c>
      <x:c r="F4" s="13" t="str">
        <x:v>INTERACTIVE通过</x:v>
      </x:c>
    </x:row>
    <x:row r="5" ht="34" customHeight="1">
      <x:c r="A5" s="25" t="n">
        <x:v>258</x:v>
      </x:c>
      <x:c r="B5" s="26" t="n">
        <x:v>205</x:v>
      </x:c>
      <x:c r="C5" s="26" t="n">
        <x:v>35</x:v>
      </x:c>
      <x:c r="D5" s="26" t="n">
        <x:v>18</x:v>
      </x:c>
      <x:c r="E5" s="26" t="n">
        <x:v>30</x:v>
      </x:c>
      <x:c r="F5" s="27" t="n">
        <x:v>30</x:v>
      </x:c>
    </x:row>
    <x:row r="7" ht="30" customHeight="1">
      <x:c r="A7" s="13" t="str">
        <x:v>异常总数</x:v>
      </x:c>
      <x:c r="B7" s="13" t="str">
        <x:v>ERROR</x:v>
      </x:c>
      <x:c r="C7" s="13" t="str">
        <x:v>FAIL</x:v>
      </x:c>
      <x:c r="D7" s="13" t="str">
        <x:v>接口/环境归因</x:v>
      </x:c>
      <x:c r="E7" s="13" t="str">
        <x:v>测试资产归因</x:v>
      </x:c>
      <x:c r="F7" s="13" t="str">
        <x:v>开发逻辑归因</x:v>
      </x:c>
    </x:row>
    <x:row r="8" ht="32" customHeight="1">
      <x:c r="A8" s="36" t="n">
        <x:f>COUNTA('问题明细'!$B$5:$B$57)</x:f>
        <x:v>53</x:v>
      </x:c>
      <x:c r="B8" s="37" t="n">
        <x:f>COUNTIF('问题明细'!$C$5:$C$57,"ERROR")</x:f>
        <x:v>35</x:v>
      </x:c>
      <x:c r="C8" s="37" t="n">
        <x:f>COUNTIF('问题明细'!$C$5:$C$57,"FAIL")</x:f>
        <x:v>18</x:v>
      </x:c>
      <x:c r="D8" s="37" t="n">
        <x:f>COUNTIF('问题明细'!$H$5:$H$57,"开发/测试接口适配")</x:f>
        <x:v>42</x:v>
      </x:c>
      <x:c r="E8" s="37" t="n">
        <x:f>COUNTIF('问题明细'!$H$5:$H$57,"测试资产")</x:f>
        <x:v>6</x:v>
      </x:c>
      <x:c r="F8" s="38" t="n">
        <x:f>COUNTIF('问题明细'!$H$5:$H$57,"开发逻辑/测试接口")+COUNTIF('问题明细'!$H$5:$H$57,"开发逻辑")+COUNTIF('问题明细'!$H$5:$H$57,"开发逻辑/地图事件接入")</x:f>
        <x:v>5</x:v>
      </x:c>
    </x:row>
    <x:row r="10" ht="30" customHeight="1">
      <x:c r="A10" s="13" t="str">
        <x:v>根因分类</x:v>
      </x:c>
      <x:c r="B10" s="13" t="str">
        <x:v>数量</x:v>
      </x:c>
      <x:c r="C10" s="13" t="str">
        <x:v>占异常比例</x:v>
      </x:c>
      <x:c r="D10" s="13" t="str">
        <x:v>责任归属</x:v>
      </x:c>
      <x:c r="E10" s="13" t="str">
        <x:v>优先级</x:v>
      </x:c>
      <x:c r="F10" s="13" t="str">
        <x:v>建议处理</x:v>
      </x:c>
    </x:row>
    <x:row r="11" ht="42" customHeight="1">
      <x:c r="A11" s="46" t="str">
        <x:v>V2随机控制未接入</x:v>
      </x:c>
      <x:c r="B11" s="52" t="n">
        <x:f>COUNTIF('问题明细'!$F$5:$F$57,A11)</x:f>
        <x:v>23</x:v>
      </x:c>
      <x:c r="C11" s="58" t="n">
        <x:f>B11/$A$8</x:f>
        <x:v>0.4339622641509434</x:v>
      </x:c>
      <x:c r="D11" s="46" t="str">
        <x:v>开发/测试接口适配</x:v>
      </x:c>
      <x:c r="E11" s="61" t="str">
        <x:v>P0</x:v>
      </x:c>
      <x:c r="F11" s="46" t="str">
        <x:v>接入random_control.streams.DICE</x:v>
      </x:c>
    </x:row>
    <x:row r="12" ht="42" customHeight="1">
      <x:c r="A12" s="47" t="str">
        <x:v>ADVANCE_TURN未实现</x:v>
      </x:c>
      <x:c r="B12" s="53" t="n">
        <x:f>COUNTIF('问题明细'!$F$5:$F$57,A12)</x:f>
        <x:v>11</x:v>
      </x:c>
      <x:c r="C12" s="59" t="n">
        <x:f>B12/$A$8</x:f>
        <x:v>0.20754716981132076</x:v>
      </x:c>
      <x:c r="D12" s="47" t="str">
        <x:v>开发/测试接口适配</x:v>
      </x:c>
      <x:c r="E12" s="62" t="str">
        <x:v>P0</x:v>
      </x:c>
      <x:c r="F12" s="47" t="str">
        <x:v>实现STATE专用回合推进动作</x:v>
      </x:c>
    </x:row>
    <x:row r="13" ht="42" customHeight="1">
      <x:c r="A13" s="47" t="str">
        <x:v>Actual缺少display_cells</x:v>
      </x:c>
      <x:c r="B13" s="53" t="n">
        <x:f>COUNTIF('问题明细'!$F$5:$F$57,A13)</x:f>
        <x:v>8</x:v>
      </x:c>
      <x:c r="C13" s="59" t="n">
        <x:f>B13/$A$8</x:f>
        <x:v>0.1509433962264151</x:v>
      </x:c>
      <x:c r="D13" s="47" t="str">
        <x:v>开发/测试接口适配</x:v>
      </x:c>
      <x:c r="E13" s="62" t="str">
        <x:v>P1</x:v>
      </x:c>
      <x:c r="F13" s="47" t="str">
        <x:v>补齐2.0显示状态输出</x:v>
      </x:c>
    </x:row>
    <x:row r="14" ht="42" customHeight="1">
      <x:c r="A14" s="47" t="str">
        <x:v>测试步骤未处理落点提示</x:v>
      </x:c>
      <x:c r="B14" s="53" t="n">
        <x:f>COUNTIF('问题明细'!$F$5:$F$57,A14)</x:f>
        <x:v>2</x:v>
      </x:c>
      <x:c r="C14" s="59" t="n">
        <x:f>B14/$A$8</x:f>
        <x:v>0.03773584905660377</x:v>
      </x:c>
      <x:c r="D14" s="47" t="str">
        <x:v>测试资产</x:v>
      </x:c>
      <x:c r="E14" s="62" t="str">
        <x:v>P1</x:v>
      </x:c>
      <x:c r="F14" s="47" t="str">
        <x:v>补充ANSWER或调整不触发提示的落点</x:v>
      </x:c>
    </x:row>
    <x:row r="15" ht="42" customHeight="1">
      <x:c r="A15" s="47" t="str">
        <x:v>JSON期望值转换错误</x:v>
      </x:c>
      <x:c r="B15" s="53" t="n">
        <x:f>COUNTIF('问题明细'!$F$5:$F$57,A15)</x:f>
        <x:v>4</x:v>
      </x:c>
      <x:c r="C15" s="59" t="n">
        <x:f>B15/$A$8</x:f>
        <x:v>0.07547169811320754</x:v>
      </x:c>
      <x:c r="D15" s="47" t="str">
        <x:v>测试资产</x:v>
      </x:c>
      <x:c r="E15" s="62" t="str">
        <x:v>P1</x:v>
      </x:c>
      <x:c r="F15" s="47" t="str">
        <x:v>依据原Excel修复四条资金期望</x:v>
      </x:c>
    </x:row>
    <x:row r="16" ht="42" customHeight="1">
      <x:c r="A16" s="47" t="str">
        <x:v>财神领取与免租未接入</x:v>
      </x:c>
      <x:c r="B16" s="53" t="n">
        <x:f>COUNTIF('问题明细'!$F$5:$F$57,A16)</x:f>
        <x:v>2</x:v>
      </x:c>
      <x:c r="C16" s="59" t="n">
        <x:f>B16/$A$8</x:f>
        <x:v>0.03773584905660377</x:v>
      </x:c>
      <x:c r="D16" s="47" t="str">
        <x:v>开发逻辑/测试接口</x:v>
      </x:c>
      <x:c r="E16" s="62" t="str">
        <x:v>P0</x:v>
      </x:c>
      <x:c r="F16" s="47" t="str">
        <x:v>实现领取、移除F和当轮免租</x:v>
      </x:c>
    </x:row>
    <x:row r="17" ht="42" customHeight="1">
      <x:c r="A17" s="47" t="str">
        <x:v>礼品屋财神奖励未实现</x:v>
      </x:c>
      <x:c r="B17" s="53" t="n">
        <x:f>COUNTIF('问题明细'!$F$5:$F$57,A17)</x:f>
        <x:v>1</x:v>
      </x:c>
      <x:c r="C17" s="59" t="n">
        <x:f>B17/$A$8</x:f>
        <x:v>0.018867924528301886</x:v>
      </x:c>
      <x:c r="D17" s="47" t="str">
        <x:v>开发逻辑</x:v>
      </x:c>
      <x:c r="E17" s="62" t="str">
        <x:v>P1</x:v>
      </x:c>
      <x:c r="F17" s="47" t="str">
        <x:v>实现礼品3授予5回合财神</x:v>
      </x:c>
    </x:row>
    <x:row r="18" ht="42" customHeight="1">
      <x:c r="A18" s="48" t="str">
        <x:v>道具屋落点未触发PROMPT</x:v>
      </x:c>
      <x:c r="B18" s="54" t="n">
        <x:f>COUNTIF('问题明细'!$F$5:$F$57,A18)</x:f>
        <x:v>2</x:v>
      </x:c>
      <x:c r="C18" s="60" t="n">
        <x:f>B18/$A$8</x:f>
        <x:v>0.03773584905660377</x:v>
      </x:c>
      <x:c r="D18" s="48" t="str">
        <x:v>开发逻辑/地图事件接入</x:v>
      </x:c>
      <x:c r="E18" s="63" t="str">
        <x:v>P1</x:v>
      </x:c>
      <x:c r="F18" s="48" t="str">
        <x:v>接入位置28道具屋提示</x:v>
      </x:c>
    </x:row>
    <x:row r="20" ht="42" customHeight="1">
      <x:c r="A20" s="68" t="str">
        <x:v>结论：ERROR主要是2.0测试控制接口未接入，不代表业务断言失败；FAIL中同时存在开发缺口和6条测试资产问题，应分开处理。</x:v>
      </x:c>
      <x:c r="B20" s="69"/>
      <x:c r="C20" s="69"/>
      <x:c r="D20" s="69"/>
      <x:c r="E20" s="69"/>
      <x:c r="F20" s="70"/>
    </x:row>
    <x:row r="22" ht="30" customHeight="1">
      <x:c r="A22" s="13" t="str">
        <x:v>来源文件</x:v>
      </x:c>
      <x:c r="B22" s="13" t="str">
        <x:v>用途</x:v>
      </x:c>
      <x:c r="C22" s="13" t="str">
        <x:v>总数</x:v>
      </x:c>
      <x:c r="D22" s="13" t="str">
        <x:v>PASS</x:v>
      </x:c>
      <x:c r="E22" s="13" t="str">
        <x:v>FAIL</x:v>
      </x:c>
      <x:c r="F22" s="13" t="str">
        <x:v>ERROR</x:v>
      </x:c>
    </x:row>
    <x:row r="23">
      <x:c r="A23" s="46" t="str">
        <x:v>results_state_v2.json</x:v>
      </x:c>
      <x:c r="B23" s="46" t="str">
        <x:v>STATE结构化规则回归</x:v>
      </x:c>
      <x:c r="C23" s="49" t="n">
        <x:v>258</x:v>
      </x:c>
      <x:c r="D23" s="49" t="n">
        <x:v>205</x:v>
      </x:c>
      <x:c r="E23" s="49" t="n">
        <x:v>18</x:v>
      </x:c>
      <x:c r="F23" s="49" t="n">
        <x:v>35</x:v>
      </x:c>
    </x:row>
    <x:row r="24">
      <x:c r="A24" s="48" t="str">
        <x:v>results_interactive_v2.json</x:v>
      </x:c>
      <x:c r="B24" s="48" t="str">
        <x:v>真实命令行交互回归</x:v>
      </x:c>
      <x:c r="C24" s="51" t="n">
        <x:v>30</x:v>
      </x:c>
      <x:c r="D24" s="51" t="n">
        <x:v>30</x:v>
      </x:c>
      <x:c r="E24" s="51" t="n">
        <x:v>0</x:v>
      </x:c>
      <x:c r="F24" s="51" t="n">
        <x:v>0</x:v>
      </x:c>
    </x:row>
  </x:sheetData>
  <x:mergeCells>
    <x:mergeCell ref="A1:F1"/>
    <x:mergeCell ref="A2:F2"/>
    <x:mergeCell ref="A20:F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0" hidden="0" customWidth="1"/>
    <x:col min="4" max="4" width="24" hidden="0" customWidth="1"/>
    <x:col min="5" max="5" width="44" hidden="0" customWidth="1"/>
    <x:col min="6" max="6" width="28" hidden="0" customWidth="1"/>
    <x:col min="7" max="7" width="54" hidden="0" customWidth="1"/>
    <x:col min="8" max="8" width="24" hidden="0" customWidth="1"/>
    <x:col min="9" max="9" width="10" hidden="0" customWidth="1"/>
    <x:col min="10" max="10" width="52" hidden="0" customWidth="1"/>
  </x:cols>
  <x:sheetData>
    <x:row r="1" ht="34" customHeight="1">
      <x:c r="A1" s="71" t="str">
        <x:v>全部 ERROR / FAIL 明细与归因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>
      <x:c r="A2" s="7" t="str">
        <x:v>共53条；“责任归属”是基于当前报告和2.0规范的测试侧初步判断，修复后应重新执行一键回归确认。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序号</x:v>
      </x:c>
      <x:c r="B4" s="13" t="str">
        <x:v>用例ID</x:v>
      </x:c>
      <x:c r="C4" s="13" t="str">
        <x:v>结果</x:v>
      </x:c>
      <x:c r="D4" s="13" t="str">
        <x:v>功能模块</x:v>
      </x:c>
      <x:c r="E4" s="13" t="str">
        <x:v>直接现象/断言差异</x:v>
      </x:c>
      <x:c r="F4" s="13" t="str">
        <x:v>根因分类</x:v>
      </x:c>
      <x:c r="G4" s="13" t="str">
        <x:v>原因说明</x:v>
      </x:c>
      <x:c r="H4" s="13" t="str">
        <x:v>责任归属</x:v>
      </x:c>
      <x:c r="I4" s="13" t="str">
        <x:v>优先级</x:v>
      </x:c>
      <x:c r="J4" s="13" t="str">
        <x:v>建议处理</x:v>
      </x:c>
    </x:row>
    <x:row r="5" ht="58" customHeight="1">
      <x:c r="A5" s="52" t="n">
        <x:v>1</x:v>
      </x:c>
      <x:c r="B5" s="46" t="str">
        <x:v>Case_A4_001</x:v>
      </x:c>
      <x:c r="C5" s="61" t="str">
        <x:v>FAIL</x:v>
      </x:c>
      <x:c r="D5" s="46" t="str">
        <x:v>A4 回合控制与落点处理</x:v>
      </x:c>
      <x:c r="E5" s="46" t="str">
        <x:v>ASSERT_NOT_EQUAL；字段=actual.current_user；scalar not equal；期望="A"；实际="Q"</x:v>
      </x:c>
      <x:c r="F5" s="46" t="str">
        <x:v>测试步骤未处理落点提示</x:v>
      </x:c>
      <x:c r="G5" s="46" t="str">
        <x:v>Q从公园49 STEP 1后到达位置50的无主地产，当前回合停留在BUY提示，故current_user仍为Q；用例却直接期望切换到A。</x:v>
      </x:c>
      <x:c r="H5" s="46" t="str">
        <x:v>测试资产</x:v>
      </x:c>
      <x:c r="I5" s="61" t="str">
        <x:v>P1</x:v>
      </x:c>
      <x:c r="J5" s="46" t="str">
        <x:v>在STEP后补充ANSWER拒绝/购买，再断言切换到A；不能仅修改current_user期望来强行通过。</x:v>
      </x:c>
    </x:row>
    <x:row r="6" ht="58" customHeight="1">
      <x:c r="A6" s="53" t="n">
        <x:v>2</x:v>
      </x:c>
      <x:c r="B6" s="47" t="str">
        <x:v>Case_A4_010</x:v>
      </x:c>
      <x:c r="C6" s="62" t="str">
        <x:v>ERROR</x:v>
      </x:c>
      <x:c r="D6" s="47" t="str">
        <x:v>A4 回合控制与落点处理</x:v>
      </x:c>
      <x:c r="E6" s="47" t="str">
        <x:v>INVALID_ACTION；DICE_SEQUENCE_EMPTY</x:v>
      </x:c>
      <x:c r="F6" s="47" t="str">
        <x:v>V2随机控制未接入</x:v>
      </x:c>
      <x:c r="G6" s="47" t="str">
        <x:v>用例已按2.0规范提供 random_control.streams.DICE=[6], 但测试入口仍返回旧式 DICE_SEQUENCE_EMPTY，说明 monopoly_test 尚未读取或传递2.0具名随机流。</x:v>
      </x:c>
      <x:c r="H6" s="47" t="str">
        <x:v>开发/测试接口适配</x:v>
      </x:c>
      <x:c r="I6" s="62" t="str">
        <x:v>P0</x:v>
      </x:c>
      <x:c r="J6" s="47" t="str">
        <x:v>让STATE测试入口解析 random_control.streams.DICE，并按规范逐次消费；同步统一耗尽错误码并增加接口单元测试。</x:v>
      </x:c>
    </x:row>
    <x:row r="7" ht="58" customHeight="1">
      <x:c r="A7" s="53" t="n">
        <x:v>3</x:v>
      </x:c>
      <x:c r="B7" s="47" t="str">
        <x:v>Case_A4_011</x:v>
      </x:c>
      <x:c r="C7" s="62" t="str">
        <x:v>ERROR</x:v>
      </x:c>
      <x:c r="D7" s="47" t="str">
        <x:v>A4 回合控制与落点处理</x:v>
      </x:c>
      <x:c r="E7" s="47" t="str">
        <x:v>INVALID_ACTION；DICE_SEQUENCE_EMPTY</x:v>
      </x:c>
      <x:c r="F7" s="47" t="str">
        <x:v>V2随机控制未接入</x:v>
      </x:c>
      <x:c r="G7" s="47" t="str">
        <x:v>用例已按2.0规范提供 random_control.streams.DICE=[6], 但测试入口仍返回旧式 DICE_SEQUENCE_EMPTY，说明 monopoly_test 尚未读取或传递2.0具名随机流。</x:v>
      </x:c>
      <x:c r="H7" s="47" t="str">
        <x:v>开发/测试接口适配</x:v>
      </x:c>
      <x:c r="I7" s="62" t="str">
        <x:v>P0</x:v>
      </x:c>
      <x:c r="J7" s="47" t="str">
        <x:v>让STATE测试入口解析 random_control.streams.DICE，并按规范逐次消费；同步统一耗尽错误码并增加接口单元测试。</x:v>
      </x:c>
    </x:row>
    <x:row r="8" ht="58" customHeight="1">
      <x:c r="A8" s="53" t="n">
        <x:v>4</x:v>
      </x:c>
      <x:c r="B8" s="47" t="str">
        <x:v>Case_A4_012</x:v>
      </x:c>
      <x:c r="C8" s="62" t="str">
        <x:v>ERROR</x:v>
      </x:c>
      <x:c r="D8" s="47" t="str">
        <x:v>A4 回合控制与落点处理</x:v>
      </x:c>
      <x:c r="E8" s="47" t="str">
        <x:v>INVALID_ACTION；DICE_SEQUENCE_EMPTY</x:v>
      </x:c>
      <x:c r="F8" s="47" t="str">
        <x:v>V2随机控制未接入</x:v>
      </x:c>
      <x:c r="G8" s="47" t="str">
        <x:v>用例已按2.0规范提供 random_control.streams.DICE=[1], 但测试入口仍返回旧式 DICE_SEQUENCE_EMPTY，说明 monopoly_test 尚未读取或传递2.0具名随机流。</x:v>
      </x:c>
      <x:c r="H8" s="47" t="str">
        <x:v>开发/测试接口适配</x:v>
      </x:c>
      <x:c r="I8" s="62" t="str">
        <x:v>P0</x:v>
      </x:c>
      <x:c r="J8" s="47" t="str">
        <x:v>让STATE测试入口解析 random_control.streams.DICE，并按规范逐次消费；同步统一耗尽错误码并增加接口单元测试。</x:v>
      </x:c>
    </x:row>
    <x:row r="9" ht="58" customHeight="1">
      <x:c r="A9" s="53" t="n">
        <x:v>5</x:v>
      </x:c>
      <x:c r="B9" s="47" t="str">
        <x:v>Case_A5_002</x:v>
      </x:c>
      <x:c r="C9" s="62" t="str">
        <x:v>FAIL</x:v>
      </x:c>
      <x:c r="D9" s="47" t="str">
        <x:v>A5 地图显示</x:v>
      </x:c>
      <x:c r="E9" s="47" t="str">
        <x:v>ASSERT_NOT_EQUAL；字段=actual.display_cells；field missing in actual；期望=[{"position":10,"base_symbol":"2","visible_entity":"BASE"}]；实际=null</x:v>
      </x:c>
      <x:c r="F9" s="47" t="str">
        <x:v>Actual缺少display_cells</x:v>
      </x:c>
      <x:c r="G9" s="47" t="str">
        <x:v>2.0规范要求STATE Actual输出display_cells以验证底层格、玩家、道具和财神的显示覆盖关系；当前实际结果完全缺少该字段。</x:v>
      </x:c>
      <x:c r="H9" s="47" t="str">
        <x:v>开发/测试接口适配</x:v>
      </x:c>
      <x:c r="I9" s="62" t="str">
        <x:v>P1</x:v>
      </x:c>
      <x:c r="J9" s="47" t="str">
        <x:v>在 monopoly_test 的Actual序列化中输出按position组织的display_cells，并实现base_symbol、visible_symbol、visible_entity等字段。</x:v>
      </x:c>
    </x:row>
    <x:row r="10" ht="58" customHeight="1">
      <x:c r="A10" s="53" t="n">
        <x:v>6</x:v>
      </x:c>
      <x:c r="B10" s="47" t="str">
        <x:v>Case_A5_003</x:v>
      </x:c>
      <x:c r="C10" s="62" t="str">
        <x:v>FAIL</x:v>
      </x:c>
      <x:c r="D10" s="47" t="str">
        <x:v>A5 地图显示</x:v>
      </x:c>
      <x:c r="E10" s="47" t="str">
        <x:v>ASSERT_NOT_EQUAL；字段=actual.display_cells；field missing in actual；期望=[{"position":10,"base_symbol":"0","visible_entity":"BASE"}]；实际=null</x:v>
      </x:c>
      <x:c r="F10" s="47" t="str">
        <x:v>Actual缺少display_cells</x:v>
      </x:c>
      <x:c r="G10" s="47" t="str">
        <x:v>2.0规范要求STATE Actual输出display_cells以验证底层格、玩家、道具和财神的显示覆盖关系；当前实际结果完全缺少该字段。</x:v>
      </x:c>
      <x:c r="H10" s="47" t="str">
        <x:v>开发/测试接口适配</x:v>
      </x:c>
      <x:c r="I10" s="62" t="str">
        <x:v>P1</x:v>
      </x:c>
      <x:c r="J10" s="47" t="str">
        <x:v>在 monopoly_test 的Actual序列化中输出按position组织的display_cells，并实现base_symbol、visible_symbol、visible_entity等字段。</x:v>
      </x:c>
    </x:row>
    <x:row r="11" ht="58" customHeight="1">
      <x:c r="A11" s="53" t="n">
        <x:v>7</x:v>
      </x:c>
      <x:c r="B11" s="47" t="str">
        <x:v>Case_A5_004</x:v>
      </x:c>
      <x:c r="C11" s="62" t="str">
        <x:v>FAIL</x:v>
      </x:c>
      <x:c r="D11" s="47" t="str">
        <x:v>A5 地图显示</x:v>
      </x:c>
      <x:c r="E11" s="47" t="str">
        <x:v>ASSERT_NOT_EQUAL；字段=actual.display_cells；field missing in actual；期望=[{"position":30,"visible_symbol":"#","visible_entity":"MAP_ITEM"}]；实际=null</x:v>
      </x:c>
      <x:c r="F11" s="47" t="str">
        <x:v>Actual缺少display_cells</x:v>
      </x:c>
      <x:c r="G11" s="47" t="str">
        <x:v>2.0规范要求STATE Actual输出display_cells以验证底层格、玩家、道具和财神的显示覆盖关系；当前实际结果完全缺少该字段。</x:v>
      </x:c>
      <x:c r="H11" s="47" t="str">
        <x:v>开发/测试接口适配</x:v>
      </x:c>
      <x:c r="I11" s="62" t="str">
        <x:v>P1</x:v>
      </x:c>
      <x:c r="J11" s="47" t="str">
        <x:v>在 monopoly_test 的Actual序列化中输出按position组织的display_cells，并实现base_symbol、visible_symbol、visible_entity等字段。</x:v>
      </x:c>
    </x:row>
    <x:row r="12" ht="58" customHeight="1">
      <x:c r="A12" s="53" t="n">
        <x:v>8</x:v>
      </x:c>
      <x:c r="B12" s="47" t="str">
        <x:v>Case_A5_005</x:v>
      </x:c>
      <x:c r="C12" s="62" t="str">
        <x:v>FAIL</x:v>
      </x:c>
      <x:c r="D12" s="47" t="str">
        <x:v>A5 地图显示</x:v>
      </x:c>
      <x:c r="E12" s="47" t="str">
        <x:v>ASSERT_NOT_EQUAL；字段=actual.display_cells；field missing in actual；期望=[{"position":10,"visible_symbol":"Q","visible_entity":"PLAYER"}]；实际=null</x:v>
      </x:c>
      <x:c r="F12" s="47" t="str">
        <x:v>Actual缺少display_cells</x:v>
      </x:c>
      <x:c r="G12" s="47" t="str">
        <x:v>2.0规范要求STATE Actual输出display_cells以验证底层格、玩家、道具和财神的显示覆盖关系；当前实际结果完全缺少该字段。</x:v>
      </x:c>
      <x:c r="H12" s="47" t="str">
        <x:v>开发/测试接口适配</x:v>
      </x:c>
      <x:c r="I12" s="62" t="str">
        <x:v>P1</x:v>
      </x:c>
      <x:c r="J12" s="47" t="str">
        <x:v>在 monopoly_test 的Actual序列化中输出按position组织的display_cells，并实现base_symbol、visible_symbol、visible_entity等字段。</x:v>
      </x:c>
    </x:row>
    <x:row r="13" ht="58" customHeight="1">
      <x:c r="A13" s="53" t="n">
        <x:v>9</x:v>
      </x:c>
      <x:c r="B13" s="47" t="str">
        <x:v>Case_A8_003</x:v>
      </x:c>
      <x:c r="C13" s="62" t="str">
        <x:v>ERROR</x:v>
      </x:c>
      <x:c r="D13" s="47" t="str">
        <x:v>A8 Roll掷骰子移动</x:v>
      </x:c>
      <x:c r="E13" s="47" t="str">
        <x:v>INVALID_ACTION；DICE_SEQUENCE_EMPTY</x:v>
      </x:c>
      <x:c r="F13" s="47" t="str">
        <x:v>V2随机控制未接入</x:v>
      </x:c>
      <x:c r="G13" s="47" t="str">
        <x:v>用例已按2.0规范提供 random_control.streams.DICE=[3], 但测试入口仍返回旧式 DICE_SEQUENCE_EMPTY，说明 monopoly_test 尚未读取或传递2.0具名随机流。</x:v>
      </x:c>
      <x:c r="H13" s="47" t="str">
        <x:v>开发/测试接口适配</x:v>
      </x:c>
      <x:c r="I13" s="62" t="str">
        <x:v>P0</x:v>
      </x:c>
      <x:c r="J13" s="47" t="str">
        <x:v>让STATE测试入口解析 random_control.streams.DICE，并按规范逐次消费；同步统一耗尽错误码并增加接口单元测试。</x:v>
      </x:c>
    </x:row>
    <x:row r="14" ht="58" customHeight="1">
      <x:c r="A14" s="53" t="n">
        <x:v>10</x:v>
      </x:c>
      <x:c r="B14" s="47" t="str">
        <x:v>Case_A8_004</x:v>
      </x:c>
      <x:c r="C14" s="62" t="str">
        <x:v>ERROR</x:v>
      </x:c>
      <x:c r="D14" s="47" t="str">
        <x:v>A8 Roll掷骰子移动</x:v>
      </x:c>
      <x:c r="E14" s="47" t="str">
        <x:v>INVALID_ACTION；DICE_SEQUENCE_EMPTY</x:v>
      </x:c>
      <x:c r="F14" s="47" t="str">
        <x:v>V2随机控制未接入</x:v>
      </x:c>
      <x:c r="G14" s="47" t="str">
        <x:v>用例已按2.0规范提供 random_control.streams.DICE=[2], 但测试入口仍返回旧式 DICE_SEQUENCE_EMPTY，说明 monopoly_test 尚未读取或传递2.0具名随机流。</x:v>
      </x:c>
      <x:c r="H14" s="47" t="str">
        <x:v>开发/测试接口适配</x:v>
      </x:c>
      <x:c r="I14" s="62" t="str">
        <x:v>P0</x:v>
      </x:c>
      <x:c r="J14" s="47" t="str">
        <x:v>让STATE测试入口解析 random_control.streams.DICE，并按规范逐次消费；同步统一耗尽错误码并增加接口单元测试。</x:v>
      </x:c>
    </x:row>
    <x:row r="15" ht="58" customHeight="1">
      <x:c r="A15" s="53" t="n">
        <x:v>11</x:v>
      </x:c>
      <x:c r="B15" s="47" t="str">
        <x:v>Case_A8_005</x:v>
      </x:c>
      <x:c r="C15" s="62" t="str">
        <x:v>ERROR</x:v>
      </x:c>
      <x:c r="D15" s="47" t="str">
        <x:v>A8 Roll掷骰子移动</x:v>
      </x:c>
      <x:c r="E15" s="47" t="str">
        <x:v>INVALID_ACTION；DICE_SEQUENCE_EMPTY</x:v>
      </x:c>
      <x:c r="F15" s="47" t="str">
        <x:v>V2随机控制未接入</x:v>
      </x:c>
      <x:c r="G15" s="47" t="str">
        <x:v>用例已按2.0规范提供 random_control.streams.DICE=[2], 但测试入口仍返回旧式 DICE_SEQUENCE_EMPTY，说明 monopoly_test 尚未读取或传递2.0具名随机流。</x:v>
      </x:c>
      <x:c r="H15" s="47" t="str">
        <x:v>开发/测试接口适配</x:v>
      </x:c>
      <x:c r="I15" s="62" t="str">
        <x:v>P0</x:v>
      </x:c>
      <x:c r="J15" s="47" t="str">
        <x:v>让STATE测试入口解析 random_control.streams.DICE，并按规范逐次消费；同步统一耗尽错误码并增加接口单元测试。</x:v>
      </x:c>
    </x:row>
    <x:row r="16" ht="58" customHeight="1">
      <x:c r="A16" s="53" t="n">
        <x:v>12</x:v>
      </x:c>
      <x:c r="B16" s="47" t="str">
        <x:v>Case_A8_006</x:v>
      </x:c>
      <x:c r="C16" s="62" t="str">
        <x:v>ERROR</x:v>
      </x:c>
      <x:c r="D16" s="47" t="str">
        <x:v>A8 Roll掷骰子移动</x:v>
      </x:c>
      <x:c r="E16" s="47" t="str">
        <x:v>INVALID_ACTION；DICE_SEQUENCE_EMPTY</x:v>
      </x:c>
      <x:c r="F16" s="47" t="str">
        <x:v>V2随机控制未接入</x:v>
      </x:c>
      <x:c r="G16" s="47" t="str">
        <x:v>用例已按2.0规范提供 random_control.streams.DICE=[6], 但测试入口仍返回旧式 DICE_SEQUENCE_EMPTY，说明 monopoly_test 尚未读取或传递2.0具名随机流。</x:v>
      </x:c>
      <x:c r="H16" s="47" t="str">
        <x:v>开发/测试接口适配</x:v>
      </x:c>
      <x:c r="I16" s="62" t="str">
        <x:v>P0</x:v>
      </x:c>
      <x:c r="J16" s="47" t="str">
        <x:v>让STATE测试入口解析 random_control.streams.DICE，并按规范逐次消费；同步统一耗尽错误码并增加接口单元测试。</x:v>
      </x:c>
    </x:row>
    <x:row r="17" ht="58" customHeight="1">
      <x:c r="A17" s="53" t="n">
        <x:v>13</x:v>
      </x:c>
      <x:c r="B17" s="47" t="str">
        <x:v>Case_A8_007</x:v>
      </x:c>
      <x:c r="C17" s="62" t="str">
        <x:v>ERROR</x:v>
      </x:c>
      <x:c r="D17" s="47" t="str">
        <x:v>A8 Roll掷骰子移动</x:v>
      </x:c>
      <x:c r="E17" s="47" t="str">
        <x:v>INVALID_ACTION；DICE_SEQUENCE_EMPTY</x:v>
      </x:c>
      <x:c r="F17" s="47" t="str">
        <x:v>V2随机控制未接入</x:v>
      </x:c>
      <x:c r="G17" s="47" t="str">
        <x:v>用例已按2.0规范提供 random_control.streams.DICE=[4], 但测试入口仍返回旧式 DICE_SEQUENCE_EMPTY，说明 monopoly_test 尚未读取或传递2.0具名随机流。</x:v>
      </x:c>
      <x:c r="H17" s="47" t="str">
        <x:v>开发/测试接口适配</x:v>
      </x:c>
      <x:c r="I17" s="62" t="str">
        <x:v>P0</x:v>
      </x:c>
      <x:c r="J17" s="47" t="str">
        <x:v>让STATE测试入口解析 random_control.streams.DICE，并按规范逐次消费；同步统一耗尽错误码并增加接口单元测试。</x:v>
      </x:c>
    </x:row>
    <x:row r="18" ht="58" customHeight="1">
      <x:c r="A18" s="53" t="n">
        <x:v>14</x:v>
      </x:c>
      <x:c r="B18" s="47" t="str">
        <x:v>Case_A8_008</x:v>
      </x:c>
      <x:c r="C18" s="62" t="str">
        <x:v>ERROR</x:v>
      </x:c>
      <x:c r="D18" s="47" t="str">
        <x:v>A8 Roll掷骰子移动</x:v>
      </x:c>
      <x:c r="E18" s="47" t="str">
        <x:v>INVALID_ACTION；DICE_SEQUENCE_EMPTY</x:v>
      </x:c>
      <x:c r="F18" s="47" t="str">
        <x:v>V2随机控制未接入</x:v>
      </x:c>
      <x:c r="G18" s="47" t="str">
        <x:v>用例已按2.0规范提供 random_control.streams.DICE=[1], 但测试入口仍返回旧式 DICE_SEQUENCE_EMPTY，说明 monopoly_test 尚未读取或传递2.0具名随机流。</x:v>
      </x:c>
      <x:c r="H18" s="47" t="str">
        <x:v>开发/测试接口适配</x:v>
      </x:c>
      <x:c r="I18" s="62" t="str">
        <x:v>P0</x:v>
      </x:c>
      <x:c r="J18" s="47" t="str">
        <x:v>让STATE测试入口解析 random_control.streams.DICE，并按规范逐次消费；同步统一耗尽错误码并增加接口单元测试。</x:v>
      </x:c>
    </x:row>
    <x:row r="19" ht="58" customHeight="1">
      <x:c r="A19" s="53" t="n">
        <x:v>15</x:v>
      </x:c>
      <x:c r="B19" s="47" t="str">
        <x:v>Case_A8_009</x:v>
      </x:c>
      <x:c r="C19" s="62" t="str">
        <x:v>ERROR</x:v>
      </x:c>
      <x:c r="D19" s="47" t="str">
        <x:v>A8 Roll掷骰子移动</x:v>
      </x:c>
      <x:c r="E19" s="47" t="str">
        <x:v>INVALID_ACTION；DICE_SEQUENCE_EMPTY</x:v>
      </x:c>
      <x:c r="F19" s="47" t="str">
        <x:v>V2随机控制未接入</x:v>
      </x:c>
      <x:c r="G19" s="47" t="str">
        <x:v>用例已按2.0规范提供 random_control.streams.DICE=[5], 但测试入口仍返回旧式 DICE_SEQUENCE_EMPTY，说明 monopoly_test 尚未读取或传递2.0具名随机流。</x:v>
      </x:c>
      <x:c r="H19" s="47" t="str">
        <x:v>开发/测试接口适配</x:v>
      </x:c>
      <x:c r="I19" s="62" t="str">
        <x:v>P0</x:v>
      </x:c>
      <x:c r="J19" s="47" t="str">
        <x:v>让STATE测试入口解析 random_control.streams.DICE，并按规范逐次消费；同步统一耗尽错误码并增加接口单元测试。</x:v>
      </x:c>
    </x:row>
    <x:row r="20" ht="58" customHeight="1">
      <x:c r="A20" s="53" t="n">
        <x:v>16</x:v>
      </x:c>
      <x:c r="B20" s="47" t="str">
        <x:v>Case_A8_010</x:v>
      </x:c>
      <x:c r="C20" s="62" t="str">
        <x:v>ERROR</x:v>
      </x:c>
      <x:c r="D20" s="47" t="str">
        <x:v>A8 Roll掷骰子移动</x:v>
      </x:c>
      <x:c r="E20" s="47" t="str">
        <x:v>INVALID_ACTION；DICE_SEQUENCE_EMPTY</x:v>
      </x:c>
      <x:c r="F20" s="47" t="str">
        <x:v>V2随机控制未接入</x:v>
      </x:c>
      <x:c r="G20" s="47" t="str">
        <x:v>用例已按2.0规范提供 random_control.streams.DICE=[4], 但测试入口仍返回旧式 DICE_SEQUENCE_EMPTY，说明 monopoly_test 尚未读取或传递2.0具名随机流。</x:v>
      </x:c>
      <x:c r="H20" s="47" t="str">
        <x:v>开发/测试接口适配</x:v>
      </x:c>
      <x:c r="I20" s="62" t="str">
        <x:v>P0</x:v>
      </x:c>
      <x:c r="J20" s="47" t="str">
        <x:v>让STATE测试入口解析 random_control.streams.DICE，并按规范逐次消费；同步统一耗尽错误码并增加接口单元测试。</x:v>
      </x:c>
    </x:row>
    <x:row r="21" ht="58" customHeight="1">
      <x:c r="A21" s="53" t="n">
        <x:v>17</x:v>
      </x:c>
      <x:c r="B21" s="47" t="str">
        <x:v>Case_A8_011</x:v>
      </x:c>
      <x:c r="C21" s="62" t="str">
        <x:v>ERROR</x:v>
      </x:c>
      <x:c r="D21" s="47" t="str">
        <x:v>A8 Roll掷骰子移动</x:v>
      </x:c>
      <x:c r="E21" s="47" t="str">
        <x:v>INVALID_ACTION；DICE_SEQUENCE_EMPTY</x:v>
      </x:c>
      <x:c r="F21" s="47" t="str">
        <x:v>V2随机控制未接入</x:v>
      </x:c>
      <x:c r="G21" s="47" t="str">
        <x:v>用例已按2.0规范提供 random_control.streams.DICE=[4], 但测试入口仍返回旧式 DICE_SEQUENCE_EMPTY，说明 monopoly_test 尚未读取或传递2.0具名随机流。</x:v>
      </x:c>
      <x:c r="H21" s="47" t="str">
        <x:v>开发/测试接口适配</x:v>
      </x:c>
      <x:c r="I21" s="62" t="str">
        <x:v>P0</x:v>
      </x:c>
      <x:c r="J21" s="47" t="str">
        <x:v>让STATE测试入口解析 random_control.streams.DICE，并按规范逐次消费；同步统一耗尽错误码并增加接口单元测试。</x:v>
      </x:c>
    </x:row>
    <x:row r="22" ht="58" customHeight="1">
      <x:c r="A22" s="53" t="n">
        <x:v>18</x:v>
      </x:c>
      <x:c r="B22" s="47" t="str">
        <x:v>Case_A8_012</x:v>
      </x:c>
      <x:c r="C22" s="62" t="str">
        <x:v>ERROR</x:v>
      </x:c>
      <x:c r="D22" s="47" t="str">
        <x:v>A8 Roll掷骰子移动</x:v>
      </x:c>
      <x:c r="E22" s="47" t="str">
        <x:v>INVALID_ACTION；DICE_SEQUENCE_EMPTY</x:v>
      </x:c>
      <x:c r="F22" s="47" t="str">
        <x:v>V2随机控制未接入</x:v>
      </x:c>
      <x:c r="G22" s="47" t="str">
        <x:v>用例已按2.0规范提供 random_control.streams.DICE=[5], 但测试入口仍返回旧式 DICE_SEQUENCE_EMPTY，说明 monopoly_test 尚未读取或传递2.0具名随机流。</x:v>
      </x:c>
      <x:c r="H22" s="47" t="str">
        <x:v>开发/测试接口适配</x:v>
      </x:c>
      <x:c r="I22" s="62" t="str">
        <x:v>P0</x:v>
      </x:c>
      <x:c r="J22" s="47" t="str">
        <x:v>让STATE测试入口解析 random_control.streams.DICE，并按规范逐次消费；同步统一耗尽错误码并增加接口单元测试。</x:v>
      </x:c>
    </x:row>
    <x:row r="23" ht="58" customHeight="1">
      <x:c r="A23" s="53" t="n">
        <x:v>19</x:v>
      </x:c>
      <x:c r="B23" s="47" t="str">
        <x:v>Case_A8_013</x:v>
      </x:c>
      <x:c r="C23" s="62" t="str">
        <x:v>ERROR</x:v>
      </x:c>
      <x:c r="D23" s="47" t="str">
        <x:v>A8 Roll掷骰子移动</x:v>
      </x:c>
      <x:c r="E23" s="47" t="str">
        <x:v>INVALID_ACTION；DICE_SEQUENCE_EMPTY</x:v>
      </x:c>
      <x:c r="F23" s="47" t="str">
        <x:v>V2随机控制未接入</x:v>
      </x:c>
      <x:c r="G23" s="47" t="str">
        <x:v>用例已按2.0规范提供 random_control.streams.DICE=[2], 但测试入口仍返回旧式 DICE_SEQUENCE_EMPTY，说明 monopoly_test 尚未读取或传递2.0具名随机流。</x:v>
      </x:c>
      <x:c r="H23" s="47" t="str">
        <x:v>开发/测试接口适配</x:v>
      </x:c>
      <x:c r="I23" s="62" t="str">
        <x:v>P0</x:v>
      </x:c>
      <x:c r="J23" s="47" t="str">
        <x:v>让STATE测试入口解析 random_control.streams.DICE，并按规范逐次消费；同步统一耗尽错误码并增加接口单元测试。</x:v>
      </x:c>
    </x:row>
    <x:row r="24" ht="58" customHeight="1">
      <x:c r="A24" s="53" t="n">
        <x:v>20</x:v>
      </x:c>
      <x:c r="B24" s="47" t="str">
        <x:v>Case_A8_014</x:v>
      </x:c>
      <x:c r="C24" s="62" t="str">
        <x:v>ERROR</x:v>
      </x:c>
      <x:c r="D24" s="47" t="str">
        <x:v>A8 Roll掷骰子移动</x:v>
      </x:c>
      <x:c r="E24" s="47" t="str">
        <x:v>INVALID_ACTION；DICE_SEQUENCE_EMPTY</x:v>
      </x:c>
      <x:c r="F24" s="47" t="str">
        <x:v>V2随机控制未接入</x:v>
      </x:c>
      <x:c r="G24" s="47" t="str">
        <x:v>用例已按2.0规范提供 random_control.streams.DICE=[3], 但测试入口仍返回旧式 DICE_SEQUENCE_EMPTY，说明 monopoly_test 尚未读取或传递2.0具名随机流。</x:v>
      </x:c>
      <x:c r="H24" s="47" t="str">
        <x:v>开发/测试接口适配</x:v>
      </x:c>
      <x:c r="I24" s="62" t="str">
        <x:v>P0</x:v>
      </x:c>
      <x:c r="J24" s="47" t="str">
        <x:v>让STATE测试入口解析 random_control.streams.DICE，并按规范逐次消费；同步统一耗尽错误码并增加接口单元测试。</x:v>
      </x:c>
    </x:row>
    <x:row r="25" ht="58" customHeight="1">
      <x:c r="A25" s="53" t="n">
        <x:v>21</x:v>
      </x:c>
      <x:c r="B25" s="47" t="str">
        <x:v>Case_A8_015</x:v>
      </x:c>
      <x:c r="C25" s="62" t="str">
        <x:v>ERROR</x:v>
      </x:c>
      <x:c r="D25" s="47" t="str">
        <x:v>A8 Roll掷骰子移动</x:v>
      </x:c>
      <x:c r="E25" s="47" t="str">
        <x:v>INVALID_ACTION；DICE_SEQUENCE_EMPTY</x:v>
      </x:c>
      <x:c r="F25" s="47" t="str">
        <x:v>V2随机控制未接入</x:v>
      </x:c>
      <x:c r="G25" s="47" t="str">
        <x:v>用例已按2.0规范提供 random_control.streams.DICE=[2], 但测试入口仍返回旧式 DICE_SEQUENCE_EMPTY，说明 monopoly_test 尚未读取或传递2.0具名随机流。</x:v>
      </x:c>
      <x:c r="H25" s="47" t="str">
        <x:v>开发/测试接口适配</x:v>
      </x:c>
      <x:c r="I25" s="62" t="str">
        <x:v>P0</x:v>
      </x:c>
      <x:c r="J25" s="47" t="str">
        <x:v>让STATE测试入口解析 random_control.streams.DICE，并按规范逐次消费；同步统一耗尽错误码并增加接口单元测试。</x:v>
      </x:c>
    </x:row>
    <x:row r="26" ht="58" customHeight="1">
      <x:c r="A26" s="53" t="n">
        <x:v>22</x:v>
      </x:c>
      <x:c r="B26" s="47" t="str">
        <x:v>Case_A8_016</x:v>
      </x:c>
      <x:c r="C26" s="62" t="str">
        <x:v>ERROR</x:v>
      </x:c>
      <x:c r="D26" s="47" t="str">
        <x:v>A8 Roll掷骰子移动</x:v>
      </x:c>
      <x:c r="E26" s="47" t="str">
        <x:v>INVALID_ACTION；DICE_SEQUENCE_EMPTY</x:v>
      </x:c>
      <x:c r="F26" s="47" t="str">
        <x:v>V2随机控制未接入</x:v>
      </x:c>
      <x:c r="G26" s="47" t="str">
        <x:v>用例已按2.0规范提供 random_control.streams.DICE=[2], 但测试入口仍返回旧式 DICE_SEQUENCE_EMPTY，说明 monopoly_test 尚未读取或传递2.0具名随机流。</x:v>
      </x:c>
      <x:c r="H26" s="47" t="str">
        <x:v>开发/测试接口适配</x:v>
      </x:c>
      <x:c r="I26" s="62" t="str">
        <x:v>P0</x:v>
      </x:c>
      <x:c r="J26" s="47" t="str">
        <x:v>让STATE测试入口解析 random_control.streams.DICE，并按规范逐次消费；同步统一耗尽错误码并增加接口单元测试。</x:v>
      </x:c>
    </x:row>
    <x:row r="27" ht="58" customHeight="1">
      <x:c r="A27" s="53" t="n">
        <x:v>23</x:v>
      </x:c>
      <x:c r="B27" s="47" t="str">
        <x:v>Case_A8_017</x:v>
      </x:c>
      <x:c r="C27" s="62" t="str">
        <x:v>ERROR</x:v>
      </x:c>
      <x:c r="D27" s="47" t="str">
        <x:v>A8 Roll掷骰子移动</x:v>
      </x:c>
      <x:c r="E27" s="47" t="str">
        <x:v>INVALID_ACTION；DICE_SEQUENCE_EMPTY</x:v>
      </x:c>
      <x:c r="F27" s="47" t="str">
        <x:v>V2随机控制未接入</x:v>
      </x:c>
      <x:c r="G27" s="47" t="str">
        <x:v>用例已按2.0规范提供 random_control.streams.DICE=[3], 但测试入口仍返回旧式 DICE_SEQUENCE_EMPTY，说明 monopoly_test 尚未读取或传递2.0具名随机流。</x:v>
      </x:c>
      <x:c r="H27" s="47" t="str">
        <x:v>开发/测试接口适配</x:v>
      </x:c>
      <x:c r="I27" s="62" t="str">
        <x:v>P0</x:v>
      </x:c>
      <x:c r="J27" s="47" t="str">
        <x:v>让STATE测试入口解析 random_control.streams.DICE，并按规范逐次消费；同步统一耗尽错误码并增加接口单元测试。</x:v>
      </x:c>
    </x:row>
    <x:row r="28" ht="58" customHeight="1">
      <x:c r="A28" s="53" t="n">
        <x:v>24</x:v>
      </x:c>
      <x:c r="B28" s="47" t="str">
        <x:v>Case_A8_018</x:v>
      </x:c>
      <x:c r="C28" s="62" t="str">
        <x:v>ERROR</x:v>
      </x:c>
      <x:c r="D28" s="47" t="str">
        <x:v>A8 Roll掷骰子移动</x:v>
      </x:c>
      <x:c r="E28" s="47" t="str">
        <x:v>INVALID_ACTION；DICE_SEQUENCE_EMPTY</x:v>
      </x:c>
      <x:c r="F28" s="47" t="str">
        <x:v>V2随机控制未接入</x:v>
      </x:c>
      <x:c r="G28" s="47" t="str">
        <x:v>用例已按2.0规范提供 random_control.streams.DICE=[1], 但测试入口仍返回旧式 DICE_SEQUENCE_EMPTY，说明 monopoly_test 尚未读取或传递2.0具名随机流。</x:v>
      </x:c>
      <x:c r="H28" s="47" t="str">
        <x:v>开发/测试接口适配</x:v>
      </x:c>
      <x:c r="I28" s="62" t="str">
        <x:v>P0</x:v>
      </x:c>
      <x:c r="J28" s="47" t="str">
        <x:v>让STATE测试入口解析 random_control.streams.DICE，并按规范逐次消费；同步统一耗尽错误码并增加接口单元测试。</x:v>
      </x:c>
    </x:row>
    <x:row r="29" ht="58" customHeight="1">
      <x:c r="A29" s="53" t="n">
        <x:v>25</x:v>
      </x:c>
      <x:c r="B29" s="47" t="str">
        <x:v>Case_A8_019</x:v>
      </x:c>
      <x:c r="C29" s="62" t="str">
        <x:v>ERROR</x:v>
      </x:c>
      <x:c r="D29" s="47" t="str">
        <x:v>A8 Roll掷骰子移动</x:v>
      </x:c>
      <x:c r="E29" s="47" t="str">
        <x:v>INVALID_ACTION；DICE_SEQUENCE_EMPTY</x:v>
      </x:c>
      <x:c r="F29" s="47" t="str">
        <x:v>V2随机控制未接入</x:v>
      </x:c>
      <x:c r="G29" s="47" t="str">
        <x:v>用例已按2.0规范提供 random_control.streams.DICE=[6], 但测试入口仍返回旧式 DICE_SEQUENCE_EMPTY，说明 monopoly_test 尚未读取或传递2.0具名随机流。</x:v>
      </x:c>
      <x:c r="H29" s="47" t="str">
        <x:v>开发/测试接口适配</x:v>
      </x:c>
      <x:c r="I29" s="62" t="str">
        <x:v>P0</x:v>
      </x:c>
      <x:c r="J29" s="47" t="str">
        <x:v>让STATE测试入口解析 random_control.streams.DICE，并按规范逐次消费；同步统一耗尽错误码并增加接口单元测试。</x:v>
      </x:c>
    </x:row>
    <x:row r="30" ht="58" customHeight="1">
      <x:c r="A30" s="53" t="n">
        <x:v>26</x:v>
      </x:c>
      <x:c r="B30" s="47" t="str">
        <x:v>Case_A8_020</x:v>
      </x:c>
      <x:c r="C30" s="62" t="str">
        <x:v>ERROR</x:v>
      </x:c>
      <x:c r="D30" s="47" t="str">
        <x:v>A8 Roll掷骰子移动</x:v>
      </x:c>
      <x:c r="E30" s="47" t="str">
        <x:v>INVALID_ACTION；DICE_SEQUENCE_EMPTY</x:v>
      </x:c>
      <x:c r="F30" s="47" t="str">
        <x:v>V2随机控制未接入</x:v>
      </x:c>
      <x:c r="G30" s="47" t="str">
        <x:v>用例已按2.0规范提供 random_control.streams.DICE=[6], 但测试入口仍返回旧式 DICE_SEQUENCE_EMPTY，说明 monopoly_test 尚未读取或传递2.0具名随机流。</x:v>
      </x:c>
      <x:c r="H30" s="47" t="str">
        <x:v>开发/测试接口适配</x:v>
      </x:c>
      <x:c r="I30" s="62" t="str">
        <x:v>P0</x:v>
      </x:c>
      <x:c r="J30" s="47" t="str">
        <x:v>让STATE测试入口解析 random_control.streams.DICE，并按规范逐次消费；同步统一耗尽错误码并增加接口单元测试。</x:v>
      </x:c>
    </x:row>
    <x:row r="31" ht="58" customHeight="1">
      <x:c r="A31" s="53" t="n">
        <x:v>27</x:v>
      </x:c>
      <x:c r="B31" s="47" t="str">
        <x:v>Case_A8_021</x:v>
      </x:c>
      <x:c r="C31" s="62" t="str">
        <x:v>ERROR</x:v>
      </x:c>
      <x:c r="D31" s="47" t="str">
        <x:v>A8 Roll掷骰子移动</x:v>
      </x:c>
      <x:c r="E31" s="47" t="str">
        <x:v>INVALID_ACTION；DICE_SEQUENCE_EMPTY</x:v>
      </x:c>
      <x:c r="F31" s="47" t="str">
        <x:v>V2随机控制未接入</x:v>
      </x:c>
      <x:c r="G31" s="47" t="str">
        <x:v>用例已按2.0规范提供 random_control.streams.DICE=[6], 但测试入口仍返回旧式 DICE_SEQUENCE_EMPTY，说明 monopoly_test 尚未读取或传递2.0具名随机流。</x:v>
      </x:c>
      <x:c r="H31" s="47" t="str">
        <x:v>开发/测试接口适配</x:v>
      </x:c>
      <x:c r="I31" s="62" t="str">
        <x:v>P0</x:v>
      </x:c>
      <x:c r="J31" s="47" t="str">
        <x:v>让STATE测试入口解析 random_control.streams.DICE，并按规范逐次消费；同步统一耗尽错误码并增加接口单元测试。</x:v>
      </x:c>
    </x:row>
    <x:row r="32" ht="58" customHeight="1">
      <x:c r="A32" s="53" t="n">
        <x:v>28</x:v>
      </x:c>
      <x:c r="B32" s="47" t="str">
        <x:v>Case_A8_022</x:v>
      </x:c>
      <x:c r="C32" s="62" t="str">
        <x:v>ERROR</x:v>
      </x:c>
      <x:c r="D32" s="47" t="str">
        <x:v>A8 Roll掷骰子移动</x:v>
      </x:c>
      <x:c r="E32" s="47" t="str">
        <x:v>INVALID_ACTION；DICE_SEQUENCE_EMPTY</x:v>
      </x:c>
      <x:c r="F32" s="47" t="str">
        <x:v>V2随机控制未接入</x:v>
      </x:c>
      <x:c r="G32" s="47" t="str">
        <x:v>用例已按2.0规范提供 random_control.streams.DICE=[6], 但测试入口仍返回旧式 DICE_SEQUENCE_EMPTY，说明 monopoly_test 尚未读取或传递2.0具名随机流。</x:v>
      </x:c>
      <x:c r="H32" s="47" t="str">
        <x:v>开发/测试接口适配</x:v>
      </x:c>
      <x:c r="I32" s="62" t="str">
        <x:v>P0</x:v>
      </x:c>
      <x:c r="J32" s="47" t="str">
        <x:v>让STATE测试入口解析 random_control.streams.DICE，并按规范逐次消费；同步统一耗尽错误码并增加接口单元测试。</x:v>
      </x:c>
    </x:row>
    <x:row r="33" ht="58" customHeight="1">
      <x:c r="A33" s="53" t="n">
        <x:v>29</x:v>
      </x:c>
      <x:c r="B33" s="47" t="str">
        <x:v>Case_A10_014</x:v>
      </x:c>
      <x:c r="C33" s="62" t="str">
        <x:v>FAIL</x:v>
      </x:c>
      <x:c r="D33" s="47" t="str">
        <x:v>A10 收取过路费</x:v>
      </x:c>
      <x:c r="E33" s="47" t="str">
        <x:v>ASSERT_NOT_EQUAL；字段=actual.players[id=A].fund；scalar not equal；期望=5000；实际=4000
ASSERT_NOT_EQUAL；字段=actual.players[id=S].fund；scalar not equal；期望=5000；实际=6000</x:v>
      </x:c>
      <x:c r="F33" s="47" t="str">
        <x:v>JSON期望值转换错误</x:v>
      </x:c>
      <x:c r="G33" s="47" t="str">
        <x:v>原Excel/source_trace明确要求支付对应过路费，实际资金变化也符合该本意；但活动JSON的expected仍把双方资金写成移动前数值5000，语义在转换时被压平。</x:v>
      </x:c>
      <x:c r="H33" s="47" t="str">
        <x:v>测试资产</x:v>
      </x:c>
      <x:c r="I33" s="62" t="str">
        <x:v>P1</x:v>
      </x:c>
      <x:c r="J33" s="47" t="str">
        <x:v>按原Excel本意修复JSON expected资金：A10_014=4000/6000，A10_015=4700/5300，A10_017=4250/5750，A10_018=4400/5600。</x:v>
      </x:c>
    </x:row>
    <x:row r="34" ht="58" customHeight="1">
      <x:c r="A34" s="53" t="n">
        <x:v>30</x:v>
      </x:c>
      <x:c r="B34" s="47" t="str">
        <x:v>Case_A10_015</x:v>
      </x:c>
      <x:c r="C34" s="62" t="str">
        <x:v>FAIL</x:v>
      </x:c>
      <x:c r="D34" s="47" t="str">
        <x:v>A10 收取过路费</x:v>
      </x:c>
      <x:c r="E34" s="47" t="str">
        <x:v>ASSERT_NOT_EQUAL；字段=actual.players[id=S].fund；scalar not equal；期望=5000；实际=4700
ASSERT_NOT_EQUAL；字段=actual.players[id=J].fund；scalar not equal；期望=5000；实际=5300</x:v>
      </x:c>
      <x:c r="F34" s="47" t="str">
        <x:v>JSON期望值转换错误</x:v>
      </x:c>
      <x:c r="G34" s="47" t="str">
        <x:v>原Excel/source_trace明确要求支付对应过路费，实际资金变化也符合该本意；但活动JSON的expected仍把双方资金写成移动前数值5000，语义在转换时被压平。</x:v>
      </x:c>
      <x:c r="H34" s="47" t="str">
        <x:v>测试资产</x:v>
      </x:c>
      <x:c r="I34" s="62" t="str">
        <x:v>P1</x:v>
      </x:c>
      <x:c r="J34" s="47" t="str">
        <x:v>按原Excel本意修复JSON expected资金：A10_014=4000/6000，A10_015=4700/5300，A10_017=4250/5750，A10_018=4400/5600。</x:v>
      </x:c>
    </x:row>
    <x:row r="35" ht="58" customHeight="1">
      <x:c r="A35" s="53" t="n">
        <x:v>31</x:v>
      </x:c>
      <x:c r="B35" s="47" t="str">
        <x:v>Case_A10_017</x:v>
      </x:c>
      <x:c r="C35" s="62" t="str">
        <x:v>FAIL</x:v>
      </x:c>
      <x:c r="D35" s="47" t="str">
        <x:v>A10 收取过路费</x:v>
      </x:c>
      <x:c r="E35" s="47" t="str">
        <x:v>ASSERT_NOT_EQUAL；字段=actual.players[id=Q].fund；scalar not equal；期望=5000；实际=4250
ASSERT_NOT_EQUAL；字段=actual.players[id=A].fund；scalar not equal；期望=5000；实际=5750</x:v>
      </x:c>
      <x:c r="F35" s="47" t="str">
        <x:v>JSON期望值转换错误</x:v>
      </x:c>
      <x:c r="G35" s="47" t="str">
        <x:v>原Excel/source_trace明确要求支付对应过路费，实际资金变化也符合该本意；但活动JSON的expected仍把双方资金写成移动前数值5000，语义在转换时被压平。</x:v>
      </x:c>
      <x:c r="H35" s="47" t="str">
        <x:v>测试资产</x:v>
      </x:c>
      <x:c r="I35" s="62" t="str">
        <x:v>P1</x:v>
      </x:c>
      <x:c r="J35" s="47" t="str">
        <x:v>按原Excel本意修复JSON expected资金：A10_014=4000/6000，A10_015=4700/5300，A10_017=4250/5750，A10_018=4400/5600。</x:v>
      </x:c>
    </x:row>
    <x:row r="36" ht="58" customHeight="1">
      <x:c r="A36" s="53" t="n">
        <x:v>32</x:v>
      </x:c>
      <x:c r="B36" s="47" t="str">
        <x:v>Case_A10_018</x:v>
      </x:c>
      <x:c r="C36" s="62" t="str">
        <x:v>FAIL</x:v>
      </x:c>
      <x:c r="D36" s="47" t="str">
        <x:v>A10 收取过路费</x:v>
      </x:c>
      <x:c r="E36" s="47" t="str">
        <x:v>ASSERT_NOT_EQUAL；字段=actual.players[id=J].fund；scalar not equal；期望=5000；实际=4400
ASSERT_NOT_EQUAL；字段=actual.players[id=Q].fund；scalar not equal；期望=5000；实际=5600</x:v>
      </x:c>
      <x:c r="F36" s="47" t="str">
        <x:v>JSON期望值转换错误</x:v>
      </x:c>
      <x:c r="G36" s="47" t="str">
        <x:v>原Excel/source_trace明确要求支付对应过路费，实际资金变化也符合该本意；但活动JSON的expected仍把双方资金写成移动前数值5000，语义在转换时被压平。</x:v>
      </x:c>
      <x:c r="H36" s="47" t="str">
        <x:v>测试资产</x:v>
      </x:c>
      <x:c r="I36" s="62" t="str">
        <x:v>P1</x:v>
      </x:c>
      <x:c r="J36" s="47" t="str">
        <x:v>按原Excel本意修复JSON expected资金：A10_014=4000/6000，A10_015=4700/5300，A10_017=4250/5750，A10_018=4400/5600。</x:v>
      </x:c>
    </x:row>
    <x:row r="37" ht="58" customHeight="1">
      <x:c r="A37" s="53" t="n">
        <x:v>33</x:v>
      </x:c>
      <x:c r="B37" s="47" t="str">
        <x:v>Case_A14_001</x:v>
      </x:c>
      <x:c r="C37" s="62" t="str">
        <x:v>ERROR</x:v>
      </x:c>
      <x:c r="D37" s="47" t="str">
        <x:v>A14 财神随机出现与获取</x:v>
      </x:c>
      <x:c r="E37" s="47" t="str">
        <x:v>INVALID_ACTION；unknown command</x:v>
      </x:c>
      <x:c r="F37" s="47" t="str">
        <x:v>ADVANCE_TURN未实现</x:v>
      </x:c>
      <x:c r="G37" s="47" t="str">
        <x:v>JSON 2.0规定 ADVANCE_TURN 为STATE测试专用控制动作，但当前 monopoly_test 将其识别为 unknown command，导致财神计时和回合推进场景无法执行。</x:v>
      </x:c>
      <x:c r="H37" s="47" t="str">
        <x:v>开发/测试接口适配</x:v>
      </x:c>
      <x:c r="I37" s="62" t="str">
        <x:v>P0</x:v>
      </x:c>
      <x:c r="J37" s="47" t="str">
        <x:v>在STATE动作分发器实现 ADVANCE_TURN：原地结束当前玩家回合、切换玩家并推进回合/财神计时，不触发移动或落点事件。</x:v>
      </x:c>
    </x:row>
    <x:row r="38" ht="58" customHeight="1">
      <x:c r="A38" s="53" t="n">
        <x:v>34</x:v>
      </x:c>
      <x:c r="B38" s="47" t="str">
        <x:v>Case_A14_002</x:v>
      </x:c>
      <x:c r="C38" s="62" t="str">
        <x:v>ERROR</x:v>
      </x:c>
      <x:c r="D38" s="47" t="str">
        <x:v>A14 财神随机出现与获取</x:v>
      </x:c>
      <x:c r="E38" s="47" t="str">
        <x:v>INVALID_ACTION；unknown command</x:v>
      </x:c>
      <x:c r="F38" s="47" t="str">
        <x:v>ADVANCE_TURN未实现</x:v>
      </x:c>
      <x:c r="G38" s="47" t="str">
        <x:v>JSON 2.0规定 ADVANCE_TURN 为STATE测试专用控制动作，但当前 monopoly_test 将其识别为 unknown command，导致财神计时和回合推进场景无法执行。</x:v>
      </x:c>
      <x:c r="H38" s="47" t="str">
        <x:v>开发/测试接口适配</x:v>
      </x:c>
      <x:c r="I38" s="62" t="str">
        <x:v>P0</x:v>
      </x:c>
      <x:c r="J38" s="47" t="str">
        <x:v>在STATE动作分发器实现 ADVANCE_TURN：原地结束当前玩家回合、切换玩家并推进回合/财神计时，不触发移动或落点事件。</x:v>
      </x:c>
    </x:row>
    <x:row r="39" ht="58" customHeight="1">
      <x:c r="A39" s="53" t="n">
        <x:v>35</x:v>
      </x:c>
      <x:c r="B39" s="47" t="str">
        <x:v>Case_A14_003</x:v>
      </x:c>
      <x:c r="C39" s="62" t="str">
        <x:v>ERROR</x:v>
      </x:c>
      <x:c r="D39" s="47" t="str">
        <x:v>A14 财神随机出现与获取</x:v>
      </x:c>
      <x:c r="E39" s="47" t="str">
        <x:v>INVALID_ACTION；unknown command</x:v>
      </x:c>
      <x:c r="F39" s="47" t="str">
        <x:v>ADVANCE_TURN未实现</x:v>
      </x:c>
      <x:c r="G39" s="47" t="str">
        <x:v>JSON 2.0规定 ADVANCE_TURN 为STATE测试专用控制动作，但当前 monopoly_test 将其识别为 unknown command，导致财神计时和回合推进场景无法执行。</x:v>
      </x:c>
      <x:c r="H39" s="47" t="str">
        <x:v>开发/测试接口适配</x:v>
      </x:c>
      <x:c r="I39" s="62" t="str">
        <x:v>P0</x:v>
      </x:c>
      <x:c r="J39" s="47" t="str">
        <x:v>在STATE动作分发器实现 ADVANCE_TURN：原地结束当前玩家回合、切换玩家并推进回合/财神计时，不触发移动或落点事件。</x:v>
      </x:c>
    </x:row>
    <x:row r="40" ht="58" customHeight="1">
      <x:c r="A40" s="53" t="n">
        <x:v>36</x:v>
      </x:c>
      <x:c r="B40" s="47" t="str">
        <x:v>Case_A14_004</x:v>
      </x:c>
      <x:c r="C40" s="62" t="str">
        <x:v>ERROR</x:v>
      </x:c>
      <x:c r="D40" s="47" t="str">
        <x:v>A14 财神随机出现与获取</x:v>
      </x:c>
      <x:c r="E40" s="47" t="str">
        <x:v>INVALID_ACTION；unknown command</x:v>
      </x:c>
      <x:c r="F40" s="47" t="str">
        <x:v>ADVANCE_TURN未实现</x:v>
      </x:c>
      <x:c r="G40" s="47" t="str">
        <x:v>JSON 2.0规定 ADVANCE_TURN 为STATE测试专用控制动作，但当前 monopoly_test 将其识别为 unknown command，导致财神计时和回合推进场景无法执行。</x:v>
      </x:c>
      <x:c r="H40" s="47" t="str">
        <x:v>开发/测试接口适配</x:v>
      </x:c>
      <x:c r="I40" s="62" t="str">
        <x:v>P0</x:v>
      </x:c>
      <x:c r="J40" s="47" t="str">
        <x:v>在STATE动作分发器实现 ADVANCE_TURN：原地结束当前玩家回合、切换玩家并推进回合/财神计时，不触发移动或落点事件。</x:v>
      </x:c>
    </x:row>
    <x:row r="41" ht="58" customHeight="1">
      <x:c r="A41" s="53" t="n">
        <x:v>37</x:v>
      </x:c>
      <x:c r="B41" s="47" t="str">
        <x:v>Case_A14_005</x:v>
      </x:c>
      <x:c r="C41" s="62" t="str">
        <x:v>ERROR</x:v>
      </x:c>
      <x:c r="D41" s="47" t="str">
        <x:v>A14 财神随机出现与获取</x:v>
      </x:c>
      <x:c r="E41" s="47" t="str">
        <x:v>INVALID_ACTION；unknown command</x:v>
      </x:c>
      <x:c r="F41" s="47" t="str">
        <x:v>ADVANCE_TURN未实现</x:v>
      </x:c>
      <x:c r="G41" s="47" t="str">
        <x:v>JSON 2.0规定 ADVANCE_TURN 为STATE测试专用控制动作，但当前 monopoly_test 将其识别为 unknown command，导致财神计时和回合推进场景无法执行。</x:v>
      </x:c>
      <x:c r="H41" s="47" t="str">
        <x:v>开发/测试接口适配</x:v>
      </x:c>
      <x:c r="I41" s="62" t="str">
        <x:v>P0</x:v>
      </x:c>
      <x:c r="J41" s="47" t="str">
        <x:v>在STATE动作分发器实现 ADVANCE_TURN：原地结束当前玩家回合、切换玩家并推进回合/财神计时，不触发移动或落点事件。</x:v>
      </x:c>
    </x:row>
    <x:row r="42" ht="58" customHeight="1">
      <x:c r="A42" s="53" t="n">
        <x:v>38</x:v>
      </x:c>
      <x:c r="B42" s="47" t="str">
        <x:v>Case_A14_006</x:v>
      </x:c>
      <x:c r="C42" s="62" t="str">
        <x:v>ERROR</x:v>
      </x:c>
      <x:c r="D42" s="47" t="str">
        <x:v>A14 财神随机出现与获取</x:v>
      </x:c>
      <x:c r="E42" s="47" t="str">
        <x:v>INVALID_ACTION；unknown command</x:v>
      </x:c>
      <x:c r="F42" s="47" t="str">
        <x:v>ADVANCE_TURN未实现</x:v>
      </x:c>
      <x:c r="G42" s="47" t="str">
        <x:v>JSON 2.0规定 ADVANCE_TURN 为STATE测试专用控制动作，但当前 monopoly_test 将其识别为 unknown command，导致财神计时和回合推进场景无法执行。</x:v>
      </x:c>
      <x:c r="H42" s="47" t="str">
        <x:v>开发/测试接口适配</x:v>
      </x:c>
      <x:c r="I42" s="62" t="str">
        <x:v>P0</x:v>
      </x:c>
      <x:c r="J42" s="47" t="str">
        <x:v>在STATE动作分发器实现 ADVANCE_TURN：原地结束当前玩家回合、切换玩家并推进回合/财神计时，不触发移动或落点事件。</x:v>
      </x:c>
    </x:row>
    <x:row r="43" ht="58" customHeight="1">
      <x:c r="A43" s="53" t="n">
        <x:v>39</x:v>
      </x:c>
      <x:c r="B43" s="47" t="str">
        <x:v>Case_A14_007</x:v>
      </x:c>
      <x:c r="C43" s="62" t="str">
        <x:v>ERROR</x:v>
      </x:c>
      <x:c r="D43" s="47" t="str">
        <x:v>A14 财神随机出现与获取</x:v>
      </x:c>
      <x:c r="E43" s="47" t="str">
        <x:v>INVALID_ACTION；unknown command</x:v>
      </x:c>
      <x:c r="F43" s="47" t="str">
        <x:v>ADVANCE_TURN未实现</x:v>
      </x:c>
      <x:c r="G43" s="47" t="str">
        <x:v>JSON 2.0规定 ADVANCE_TURN 为STATE测试专用控制动作，但当前 monopoly_test 将其识别为 unknown command，导致财神计时和回合推进场景无法执行。</x:v>
      </x:c>
      <x:c r="H43" s="47" t="str">
        <x:v>开发/测试接口适配</x:v>
      </x:c>
      <x:c r="I43" s="62" t="str">
        <x:v>P0</x:v>
      </x:c>
      <x:c r="J43" s="47" t="str">
        <x:v>在STATE动作分发器实现 ADVANCE_TURN：原地结束当前玩家回合、切换玩家并推进回合/财神计时，不触发移动或落点事件。</x:v>
      </x:c>
    </x:row>
    <x:row r="44" ht="58" customHeight="1">
      <x:c r="A44" s="53" t="n">
        <x:v>40</x:v>
      </x:c>
      <x:c r="B44" s="47" t="str">
        <x:v>Case_A14_008</x:v>
      </x:c>
      <x:c r="C44" s="62" t="str">
        <x:v>ERROR</x:v>
      </x:c>
      <x:c r="D44" s="47" t="str">
        <x:v>A14 财神随机出现与获取</x:v>
      </x:c>
      <x:c r="E44" s="47" t="str">
        <x:v>INVALID_ACTION；unknown command</x:v>
      </x:c>
      <x:c r="F44" s="47" t="str">
        <x:v>ADVANCE_TURN未实现</x:v>
      </x:c>
      <x:c r="G44" s="47" t="str">
        <x:v>JSON 2.0规定 ADVANCE_TURN 为STATE测试专用控制动作，但当前 monopoly_test 将其识别为 unknown command，导致财神计时和回合推进场景无法执行。</x:v>
      </x:c>
      <x:c r="H44" s="47" t="str">
        <x:v>开发/测试接口适配</x:v>
      </x:c>
      <x:c r="I44" s="62" t="str">
        <x:v>P0</x:v>
      </x:c>
      <x:c r="J44" s="47" t="str">
        <x:v>在STATE动作分发器实现 ADVANCE_TURN：原地结束当前玩家回合、切换玩家并推进回合/财神计时，不触发移动或落点事件。</x:v>
      </x:c>
    </x:row>
    <x:row r="45" ht="58" customHeight="1">
      <x:c r="A45" s="53" t="n">
        <x:v>41</x:v>
      </x:c>
      <x:c r="B45" s="47" t="str">
        <x:v>Case_A14_009</x:v>
      </x:c>
      <x:c r="C45" s="62" t="str">
        <x:v>ERROR</x:v>
      </x:c>
      <x:c r="D45" s="47" t="str">
        <x:v>A14 财神随机出现与获取</x:v>
      </x:c>
      <x:c r="E45" s="47" t="str">
        <x:v>INVALID_ACTION；move failed</x:v>
      </x:c>
      <x:c r="F45" s="47" t="str">
        <x:v>测试步骤未处理落点提示</x:v>
      </x:c>
      <x:c r="G45" s="47" t="str">
        <x:v>Q从位置4 STEP 2后停在位置6的无主地产，会进入BUY提示；用例未先ANSWER就继续执行第二个STEP，因此在PROMPT阶段返回 move failed。</x:v>
      </x:c>
      <x:c r="H45" s="47" t="str">
        <x:v>测试资产</x:v>
      </x:c>
      <x:c r="I45" s="62" t="str">
        <x:v>P1</x:v>
      </x:c>
      <x:c r="J45" s="47" t="str">
        <x:v>保持业务期望不变，在两次移动之间补充拒绝购买的ANSWER，或调整首位玩家的终点使其不产生提示。</x:v>
      </x:c>
    </x:row>
    <x:row r="46" ht="58" customHeight="1">
      <x:c r="A46" s="53" t="n">
        <x:v>42</x:v>
      </x:c>
      <x:c r="B46" s="47" t="str">
        <x:v>Case_A14_010</x:v>
      </x:c>
      <x:c r="C46" s="62" t="str">
        <x:v>FAIL</x:v>
      </x:c>
      <x:c r="D46" s="47" t="str">
        <x:v>A14 财神随机出现与获取</x:v>
      </x:c>
      <x:c r="E46" s="47" t="str">
        <x:v>ASSERT_NOT_EQUAL；字段=actual.fortune；field missing in actual；期望={"position":null}；实际=null
ASSERT_NOT_EQUAL；字段=actual.players[id=Q].fund；scalar not equal；期望=1000；实际=900
ASSERT_NOT_EQUAL；字段=actual.players[id=Q].god_of_wealth_rounds；scalar not equal；期望=5；实际=0
ASSERT_NOT_EQUAL；字段=actual.players[id=A].fund；scalar not equal；期望=1000；实际=1100</x:v>
      </x:c>
      <x:c r="F46" s="47" t="str">
        <x:v>财神领取与免租未接入</x:v>
      </x:c>
      <x:c r="G46" s="47" t="str">
        <x:v>玩家经过预置F后，Actual没有fortune字段，god_of_wealth_rounds仍为0且照常扣租，说明财神领取、地图移除及当轮免租链路尚未实现或未接入STATE测试入口。</x:v>
      </x:c>
      <x:c r="H46" s="47" t="str">
        <x:v>开发逻辑/测试接口</x:v>
      </x:c>
      <x:c r="I46" s="62" t="str">
        <x:v>P0</x:v>
      </x:c>
      <x:c r="J46" s="47" t="str">
        <x:v>实现/接入经过F立即领取、状态设为5、F从地图消失，并在同一次移动的租金结算前生效。</x:v>
      </x:c>
    </x:row>
    <x:row r="47" ht="58" customHeight="1">
      <x:c r="A47" s="53" t="n">
        <x:v>43</x:v>
      </x:c>
      <x:c r="B47" s="47" t="str">
        <x:v>Case_A14_011</x:v>
      </x:c>
      <x:c r="C47" s="62" t="str">
        <x:v>ERROR</x:v>
      </x:c>
      <x:c r="D47" s="47" t="str">
        <x:v>A14 财神随机出现与获取</x:v>
      </x:c>
      <x:c r="E47" s="47" t="str">
        <x:v>INVALID_ACTION；unknown command</x:v>
      </x:c>
      <x:c r="F47" s="47" t="str">
        <x:v>ADVANCE_TURN未实现</x:v>
      </x:c>
      <x:c r="G47" s="47" t="str">
        <x:v>JSON 2.0规定 ADVANCE_TURN 为STATE测试专用控制动作，但当前 monopoly_test 将其识别为 unknown command，导致财神计时和回合推进场景无法执行。</x:v>
      </x:c>
      <x:c r="H47" s="47" t="str">
        <x:v>开发/测试接口适配</x:v>
      </x:c>
      <x:c r="I47" s="62" t="str">
        <x:v>P0</x:v>
      </x:c>
      <x:c r="J47" s="47" t="str">
        <x:v>在STATE动作分发器实现 ADVANCE_TURN：原地结束当前玩家回合、切换玩家并推进回合/财神计时，不触发移动或落点事件。</x:v>
      </x:c>
    </x:row>
    <x:row r="48" ht="58" customHeight="1">
      <x:c r="A48" s="53" t="n">
        <x:v>44</x:v>
      </x:c>
      <x:c r="B48" s="47" t="str">
        <x:v>Case_A14_012</x:v>
      </x:c>
      <x:c r="C48" s="62" t="str">
        <x:v>ERROR</x:v>
      </x:c>
      <x:c r="D48" s="47" t="str">
        <x:v>A14 财神随机出现与获取</x:v>
      </x:c>
      <x:c r="E48" s="47" t="str">
        <x:v>INVALID_ACTION；unknown command</x:v>
      </x:c>
      <x:c r="F48" s="47" t="str">
        <x:v>ADVANCE_TURN未实现</x:v>
      </x:c>
      <x:c r="G48" s="47" t="str">
        <x:v>JSON 2.0规定 ADVANCE_TURN 为STATE测试专用控制动作，但当前 monopoly_test 将其识别为 unknown command，导致财神计时和回合推进场景无法执行。</x:v>
      </x:c>
      <x:c r="H48" s="47" t="str">
        <x:v>开发/测试接口适配</x:v>
      </x:c>
      <x:c r="I48" s="62" t="str">
        <x:v>P0</x:v>
      </x:c>
      <x:c r="J48" s="47" t="str">
        <x:v>在STATE动作分发器实现 ADVANCE_TURN：原地结束当前玩家回合、切换玩家并推进回合/财神计时，不触发移动或落点事件。</x:v>
      </x:c>
    </x:row>
    <x:row r="49" ht="58" customHeight="1">
      <x:c r="A49" s="53" t="n">
        <x:v>45</x:v>
      </x:c>
      <x:c r="B49" s="47" t="str">
        <x:v>Case_A15_003</x:v>
      </x:c>
      <x:c r="C49" s="62" t="str">
        <x:v>FAIL</x:v>
      </x:c>
      <x:c r="D49" s="47" t="str">
        <x:v>A15 礼品屋</x:v>
      </x:c>
      <x:c r="E49" s="47" t="str">
        <x:v>ASSERT_NOT_EQUAL；字段=actual.players[id=Q].god_of_wealth_rounds；scalar not equal；期望=5；实际=0</x:v>
      </x:c>
      <x:c r="F49" s="47" t="str">
        <x:v>礼品屋财神奖励未实现</x:v>
      </x:c>
      <x:c r="G49" s="47" t="str">
        <x:v>选择礼品3后 god_of_wealth_rounds 仍为0，未获得预期的5回合财神状态；移动和提示回答本身已执行。</x:v>
      </x:c>
      <x:c r="H49" s="47" t="str">
        <x:v>开发逻辑</x:v>
      </x:c>
      <x:c r="I49" s="62" t="str">
        <x:v>P1</x:v>
      </x:c>
      <x:c r="J49" s="47" t="str">
        <x:v>核对礼品编号3的定义并实现财神奖励；获得后立即将god_of_wealth_rounds设为5。</x:v>
      </x:c>
    </x:row>
    <x:row r="50" ht="58" customHeight="1">
      <x:c r="A50" s="53" t="n">
        <x:v>46</x:v>
      </x:c>
      <x:c r="B50" s="47" t="str">
        <x:v>Case_A16_001</x:v>
      </x:c>
      <x:c r="C50" s="62" t="str">
        <x:v>FAIL</x:v>
      </x:c>
      <x:c r="D50" s="47" t="str">
        <x:v>A16 公园</x:v>
      </x:c>
      <x:c r="E50" s="47" t="str">
        <x:v>ASSERT_NOT_EQUAL；字段=actual.display_cells；field missing in actual；期望=[{"position":14,"base_type":"PARK","base_symbol":"P","visible_symbol":"P","visible_entity":"BASE"}]；实际=null</x:v>
      </x:c>
      <x:c r="F50" s="47" t="str">
        <x:v>Actual缺少display_cells</x:v>
      </x:c>
      <x:c r="G50" s="47" t="str">
        <x:v>2.0规范要求STATE Actual输出display_cells以验证底层格、玩家、道具和财神的显示覆盖关系；当前实际结果完全缺少该字段。</x:v>
      </x:c>
      <x:c r="H50" s="47" t="str">
        <x:v>开发/测试接口适配</x:v>
      </x:c>
      <x:c r="I50" s="62" t="str">
        <x:v>P1</x:v>
      </x:c>
      <x:c r="J50" s="47" t="str">
        <x:v>在 monopoly_test 的Actual序列化中输出按position组织的display_cells，并实现base_symbol、visible_symbol、visible_entity等字段。</x:v>
      </x:c>
    </x:row>
    <x:row r="51" ht="58" customHeight="1">
      <x:c r="A51" s="53" t="n">
        <x:v>47</x:v>
      </x:c>
      <x:c r="B51" s="47" t="str">
        <x:v>Case_A16_002</x:v>
      </x:c>
      <x:c r="C51" s="62" t="str">
        <x:v>FAIL</x:v>
      </x:c>
      <x:c r="D51" s="47" t="str">
        <x:v>A16 公园</x:v>
      </x:c>
      <x:c r="E51" s="47" t="str">
        <x:v>ASSERT_NOT_EQUAL；字段=actual.display_cells；field missing in actual；期望=[{"position":49,"base_type":"PARK","base_symbol":"P","visible_symbol":"P","visible_entity":"BASE"}]；实际=null</x:v>
      </x:c>
      <x:c r="F51" s="47" t="str">
        <x:v>Actual缺少display_cells</x:v>
      </x:c>
      <x:c r="G51" s="47" t="str">
        <x:v>2.0规范要求STATE Actual输出display_cells以验证底层格、玩家、道具和财神的显示覆盖关系；当前实际结果完全缺少该字段。</x:v>
      </x:c>
      <x:c r="H51" s="47" t="str">
        <x:v>开发/测试接口适配</x:v>
      </x:c>
      <x:c r="I51" s="62" t="str">
        <x:v>P1</x:v>
      </x:c>
      <x:c r="J51" s="47" t="str">
        <x:v>在 monopoly_test 的Actual序列化中输出按position组织的display_cells，并实现base_symbol、visible_symbol、visible_entity等字段。</x:v>
      </x:c>
    </x:row>
    <x:row r="52" ht="58" customHeight="1">
      <x:c r="A52" s="53" t="n">
        <x:v>48</x:v>
      </x:c>
      <x:c r="B52" s="47" t="str">
        <x:v>Case_A16_003</x:v>
      </x:c>
      <x:c r="C52" s="62" t="str">
        <x:v>FAIL</x:v>
      </x:c>
      <x:c r="D52" s="47" t="str">
        <x:v>A16 公园</x:v>
      </x:c>
      <x:c r="E52" s="47" t="str">
        <x:v>ASSERT_NOT_EQUAL；字段=actual.display_cells；field missing in actual；期望=[{"position":63,"base_type":"PARK","base_symbol":"P","visible_symbol":"P","visible_entity":"BASE"}]；实际=null</x:v>
      </x:c>
      <x:c r="F52" s="47" t="str">
        <x:v>Actual缺少display_cells</x:v>
      </x:c>
      <x:c r="G52" s="47" t="str">
        <x:v>2.0规范要求STATE Actual输出display_cells以验证底层格、玩家、道具和财神的显示覆盖关系；当前实际结果完全缺少该字段。</x:v>
      </x:c>
      <x:c r="H52" s="47" t="str">
        <x:v>开发/测试接口适配</x:v>
      </x:c>
      <x:c r="I52" s="62" t="str">
        <x:v>P1</x:v>
      </x:c>
      <x:c r="J52" s="47" t="str">
        <x:v>在 monopoly_test 的Actual序列化中输出按position组织的display_cells，并实现base_symbol、visible_symbol、visible_entity等字段。</x:v>
      </x:c>
    </x:row>
    <x:row r="53" ht="58" customHeight="1">
      <x:c r="A53" s="53" t="n">
        <x:v>49</x:v>
      </x:c>
      <x:c r="B53" s="47" t="str">
        <x:v>Case_A16_007</x:v>
      </x:c>
      <x:c r="C53" s="62" t="str">
        <x:v>FAIL</x:v>
      </x:c>
      <x:c r="D53" s="47" t="str">
        <x:v>A16 公园</x:v>
      </x:c>
      <x:c r="E53" s="47" t="str">
        <x:v>ASSERT_NOT_EQUAL；字段=actual.display_cells；field missing in actual；期望=[{"position":14,"base_type":"PARK","visible_symbol":"P","visible_entity":"BASE"}]；实际=null</x:v>
      </x:c>
      <x:c r="F53" s="47" t="str">
        <x:v>Actual缺少display_cells</x:v>
      </x:c>
      <x:c r="G53" s="47" t="str">
        <x:v>2.0规范要求STATE Actual输出display_cells以验证底层格、玩家、道具和财神的显示覆盖关系；当前实际结果完全缺少该字段。</x:v>
      </x:c>
      <x:c r="H53" s="47" t="str">
        <x:v>开发/测试接口适配</x:v>
      </x:c>
      <x:c r="I53" s="62" t="str">
        <x:v>P1</x:v>
      </x:c>
      <x:c r="J53" s="47" t="str">
        <x:v>在 monopoly_test 的Actual序列化中输出按position组织的display_cells，并实现base_symbol、visible_symbol、visible_entity等字段。</x:v>
      </x:c>
    </x:row>
    <x:row r="54" ht="58" customHeight="1">
      <x:c r="A54" s="53" t="n">
        <x:v>50</x:v>
      </x:c>
      <x:c r="B54" s="47" t="str">
        <x:v>Case_A18_005</x:v>
      </x:c>
      <x:c r="C54" s="62" t="str">
        <x:v>FAIL</x:v>
      </x:c>
      <x:c r="D54" s="47" t="str">
        <x:v>A18 Step遥控骰子</x:v>
      </x:c>
      <x:c r="E54" s="47" t="str">
        <x:v>ASSERT_NOT_EQUAL；字段=actual.phase；scalar not equal；期望="PROMPT"；实际="COMMAND"
ASSERT_NOT_EQUAL；字段=actual.pending_prompt；scalar not equal；期望="TOOL_SHOP"；实际=null</x:v>
      </x:c>
      <x:c r="F54" s="47" t="str">
        <x:v>道具屋落点未触发PROMPT</x:v>
      </x:c>
      <x:c r="G54" s="47" t="str">
        <x:v>玩家最终位置应为地图28（TOOL_SHOP），但Actual保持COMMAND且pending_prompt=null，说明落点事件没有进入TOOL_SHOP提示。</x:v>
      </x:c>
      <x:c r="H54" s="47" t="str">
        <x:v>开发逻辑/地图事件接入</x:v>
      </x:c>
      <x:c r="I54" s="62" t="str">
        <x:v>P1</x:v>
      </x:c>
      <x:c r="J54" s="47" t="str">
        <x:v>核对位置28地图类型和STEP落点事件分发；到达道具屋时设置phase=PROMPT、pending_prompt=TOOL_SHOP。</x:v>
      </x:c>
    </x:row>
    <x:row r="55" ht="58" customHeight="1">
      <x:c r="A55" s="53" t="n">
        <x:v>51</x:v>
      </x:c>
      <x:c r="B55" s="47" t="str">
        <x:v>Case_A18_027</x:v>
      </x:c>
      <x:c r="C55" s="62" t="str">
        <x:v>FAIL</x:v>
      </x:c>
      <x:c r="D55" s="47" t="str">
        <x:v>A18 Step遥控骰子</x:v>
      </x:c>
      <x:c r="E55" s="47" t="str">
        <x:v>ASSERT_NOT_EQUAL；字段=actual.phase；scalar not equal；期望="PROMPT"；实际="COMMAND"
ASSERT_NOT_EQUAL；字段=actual.pending_prompt；scalar not equal；期望="TOOL_SHOP"；实际=null</x:v>
      </x:c>
      <x:c r="F55" s="47" t="str">
        <x:v>道具屋落点未触发PROMPT</x:v>
      </x:c>
      <x:c r="G55" s="47" t="str">
        <x:v>玩家最终位置应为地图28（TOOL_SHOP），但Actual保持COMMAND且pending_prompt=null，说明落点事件没有进入TOOL_SHOP提示。</x:v>
      </x:c>
      <x:c r="H55" s="47" t="str">
        <x:v>开发逻辑/地图事件接入</x:v>
      </x:c>
      <x:c r="I55" s="62" t="str">
        <x:v>P1</x:v>
      </x:c>
      <x:c r="J55" s="47" t="str">
        <x:v>核对位置28地图类型和STEP落点事件分发；到达道具屋时设置phase=PROMPT、pending_prompt=TOOL_SHOP。</x:v>
      </x:c>
    </x:row>
    <x:row r="56" ht="58" customHeight="1">
      <x:c r="A56" s="53" t="n">
        <x:v>52</x:v>
      </x:c>
      <x:c r="B56" s="47" t="str">
        <x:v>Case_A21_028</x:v>
      </x:c>
      <x:c r="C56" s="62" t="str">
        <x:v>FAIL</x:v>
      </x:c>
      <x:c r="D56" s="47" t="str">
        <x:v>A21 资金低于零破产</x:v>
      </x:c>
      <x:c r="E56" s="47" t="str">
        <x:v>ASSERT_NOT_EQUAL；字段=actual.players[id=Q].fund；scalar not equal；期望=100；实际=-100
ASSERT_NOT_EQUAL；字段=actual.players[id=Q].status；scalar not equal；期望="NORMAL"；实际="BANKRUPT"
ASSERT_NOT_EQUAL；字段=actual.players[id=Q].god_of_wealth_rounds；scalar not equal；期望=5；实际=0
ASSERT_NOT_EQUAL；字段=actual.players[id=A].fund；scalar not equal；期望=1000；实际=1100
ASSERT_NOT_EQUAL；字段=actual.fortune；field missing in actual；期望={"position":null}；实际=null</x:v>
      </x:c>
      <x:c r="F56" s="47" t="str">
        <x:v>财神领取与免租未接入</x:v>
      </x:c>
      <x:c r="G56" s="47" t="str">
        <x:v>玩家经过预置F后，Actual没有fortune字段，god_of_wealth_rounds仍为0且照常扣租，说明财神领取、地图移除及当轮免租链路尚未实现或未接入STATE测试入口。</x:v>
      </x:c>
      <x:c r="H56" s="47" t="str">
        <x:v>开发逻辑/测试接口</x:v>
      </x:c>
      <x:c r="I56" s="62" t="str">
        <x:v>P0</x:v>
      </x:c>
      <x:c r="J56" s="47" t="str">
        <x:v>实现/接入经过F立即领取、状态设为5、F从地图消失，并在同一次移动的租金结算前生效。</x:v>
      </x:c>
    </x:row>
    <x:row r="57" ht="58" customHeight="1">
      <x:c r="A57" s="54" t="n">
        <x:v>53</x:v>
      </x:c>
      <x:c r="B57" s="48" t="str">
        <x:v>Case_A21_031</x:v>
      </x:c>
      <x:c r="C57" s="63" t="str">
        <x:v>ERROR</x:v>
      </x:c>
      <x:c r="D57" s="48" t="str">
        <x:v>A21 资金低于零破产</x:v>
      </x:c>
      <x:c r="E57" s="48" t="str">
        <x:v>INVALID_ACTION；unknown command</x:v>
      </x:c>
      <x:c r="F57" s="48" t="str">
        <x:v>ADVANCE_TURN未实现</x:v>
      </x:c>
      <x:c r="G57" s="48" t="str">
        <x:v>JSON 2.0规定 ADVANCE_TURN 为STATE测试专用控制动作，但当前 monopoly_test 将其识别为 unknown command，导致财神计时和回合推进场景无法执行。</x:v>
      </x:c>
      <x:c r="H57" s="48" t="str">
        <x:v>开发/测试接口适配</x:v>
      </x:c>
      <x:c r="I57" s="63" t="str">
        <x:v>P0</x:v>
      </x:c>
      <x:c r="J57" s="48" t="str">
        <x:v>在STATE动作分发器实现 ADVANCE_TURN：原地结束当前玩家回合、切换玩家并推进回合/财神计时，不触发移动或落点事件。</x:v>
      </x:c>
    </x:row>
  </x:sheetData>
  <x:mergeCells>
    <x:mergeCell ref="A1:J1"/>
    <x:mergeCell ref="A2:J2"/>
  </x:mergeCells>
  <x:conditionalFormatting sqref="C5:C57">
    <x:cfRule type="containsText" dxfId="0" priority="1" operator="containsText" text="ERROR"/>
    <x:cfRule type="containsText" dxfId="1" priority="2" operator="containsText" text="FAIL"/>
  </x:conditionalFormatting>
  <x:conditionalFormatting sqref="I5:I57">
    <x:cfRule type="containsText" dxfId="2" priority="3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eda14a3aa2f64f8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0" hidden="0" customWidth="1"/>
    <x:col min="4" max="4" width="24" hidden="0" customWidth="1"/>
    <x:col min="5" max="5" width="44" hidden="0" customWidth="1"/>
    <x:col min="6" max="6" width="28" hidden="0" customWidth="1"/>
    <x:col min="7" max="7" width="54" hidden="0" customWidth="1"/>
    <x:col min="8" max="8" width="24" hidden="0" customWidth="1"/>
    <x:col min="9" max="9" width="10" hidden="0" customWidth="1"/>
    <x:col min="10" max="10" width="52" hidden="0" customWidth="1"/>
  </x:cols>
  <x:sheetData>
    <x:row r="1" ht="34" customHeight="1">
      <x:c r="A1" s="71" t="str">
        <x:v>ERROR 明细：执行被测试接口阻断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>
      <x:c r="A2" s="7" t="str">
        <x:v>共35条；“责任归属”是基于当前报告和2.0规范的测试侧初步判断，修复后应重新执行一键回归确认。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序号</x:v>
      </x:c>
      <x:c r="B4" s="13" t="str">
        <x:v>用例ID</x:v>
      </x:c>
      <x:c r="C4" s="13" t="str">
        <x:v>结果</x:v>
      </x:c>
      <x:c r="D4" s="13" t="str">
        <x:v>功能模块</x:v>
      </x:c>
      <x:c r="E4" s="13" t="str">
        <x:v>直接现象/断言差异</x:v>
      </x:c>
      <x:c r="F4" s="13" t="str">
        <x:v>根因分类</x:v>
      </x:c>
      <x:c r="G4" s="13" t="str">
        <x:v>原因说明</x:v>
      </x:c>
      <x:c r="H4" s="13" t="str">
        <x:v>责任归属</x:v>
      </x:c>
      <x:c r="I4" s="13" t="str">
        <x:v>优先级</x:v>
      </x:c>
      <x:c r="J4" s="13" t="str">
        <x:v>建议处理</x:v>
      </x:c>
    </x:row>
    <x:row r="5" ht="58" customHeight="1">
      <x:c r="A5" s="52" t="n">
        <x:v>1</x:v>
      </x:c>
      <x:c r="B5" s="46" t="str">
        <x:v>Case_A4_010</x:v>
      </x:c>
      <x:c r="C5" s="61" t="str">
        <x:v>ERROR</x:v>
      </x:c>
      <x:c r="D5" s="46" t="str">
        <x:v>A4 回合控制与落点处理</x:v>
      </x:c>
      <x:c r="E5" s="46" t="str">
        <x:v>INVALID_ACTION；DICE_SEQUENCE_EMPTY</x:v>
      </x:c>
      <x:c r="F5" s="46" t="str">
        <x:v>V2随机控制未接入</x:v>
      </x:c>
      <x:c r="G5" s="46" t="str">
        <x:v>用例已按2.0规范提供 random_control.streams.DICE=[6], 但测试入口仍返回旧式 DICE_SEQUENCE_EMPTY，说明 monopoly_test 尚未读取或传递2.0具名随机流。</x:v>
      </x:c>
      <x:c r="H5" s="46" t="str">
        <x:v>开发/测试接口适配</x:v>
      </x:c>
      <x:c r="I5" s="61" t="str">
        <x:v>P0</x:v>
      </x:c>
      <x:c r="J5" s="46" t="str">
        <x:v>让STATE测试入口解析 random_control.streams.DICE，并按规范逐次消费；同步统一耗尽错误码并增加接口单元测试。</x:v>
      </x:c>
    </x:row>
    <x:row r="6" ht="58" customHeight="1">
      <x:c r="A6" s="53" t="n">
        <x:v>2</x:v>
      </x:c>
      <x:c r="B6" s="47" t="str">
        <x:v>Case_A4_011</x:v>
      </x:c>
      <x:c r="C6" s="62" t="str">
        <x:v>ERROR</x:v>
      </x:c>
      <x:c r="D6" s="47" t="str">
        <x:v>A4 回合控制与落点处理</x:v>
      </x:c>
      <x:c r="E6" s="47" t="str">
        <x:v>INVALID_ACTION；DICE_SEQUENCE_EMPTY</x:v>
      </x:c>
      <x:c r="F6" s="47" t="str">
        <x:v>V2随机控制未接入</x:v>
      </x:c>
      <x:c r="G6" s="47" t="str">
        <x:v>用例已按2.0规范提供 random_control.streams.DICE=[6], 但测试入口仍返回旧式 DICE_SEQUENCE_EMPTY，说明 monopoly_test 尚未读取或传递2.0具名随机流。</x:v>
      </x:c>
      <x:c r="H6" s="47" t="str">
        <x:v>开发/测试接口适配</x:v>
      </x:c>
      <x:c r="I6" s="62" t="str">
        <x:v>P0</x:v>
      </x:c>
      <x:c r="J6" s="47" t="str">
        <x:v>让STATE测试入口解析 random_control.streams.DICE，并按规范逐次消费；同步统一耗尽错误码并增加接口单元测试。</x:v>
      </x:c>
    </x:row>
    <x:row r="7" ht="58" customHeight="1">
      <x:c r="A7" s="53" t="n">
        <x:v>3</x:v>
      </x:c>
      <x:c r="B7" s="47" t="str">
        <x:v>Case_A4_012</x:v>
      </x:c>
      <x:c r="C7" s="62" t="str">
        <x:v>ERROR</x:v>
      </x:c>
      <x:c r="D7" s="47" t="str">
        <x:v>A4 回合控制与落点处理</x:v>
      </x:c>
      <x:c r="E7" s="47" t="str">
        <x:v>INVALID_ACTION；DICE_SEQUENCE_EMPTY</x:v>
      </x:c>
      <x:c r="F7" s="47" t="str">
        <x:v>V2随机控制未接入</x:v>
      </x:c>
      <x:c r="G7" s="47" t="str">
        <x:v>用例已按2.0规范提供 random_control.streams.DICE=[1], 但测试入口仍返回旧式 DICE_SEQUENCE_EMPTY，说明 monopoly_test 尚未读取或传递2.0具名随机流。</x:v>
      </x:c>
      <x:c r="H7" s="47" t="str">
        <x:v>开发/测试接口适配</x:v>
      </x:c>
      <x:c r="I7" s="62" t="str">
        <x:v>P0</x:v>
      </x:c>
      <x:c r="J7" s="47" t="str">
        <x:v>让STATE测试入口解析 random_control.streams.DICE，并按规范逐次消费；同步统一耗尽错误码并增加接口单元测试。</x:v>
      </x:c>
    </x:row>
    <x:row r="8" ht="58" customHeight="1">
      <x:c r="A8" s="53" t="n">
        <x:v>4</x:v>
      </x:c>
      <x:c r="B8" s="47" t="str">
        <x:v>Case_A8_003</x:v>
      </x:c>
      <x:c r="C8" s="62" t="str">
        <x:v>ERROR</x:v>
      </x:c>
      <x:c r="D8" s="47" t="str">
        <x:v>A8 Roll掷骰子移动</x:v>
      </x:c>
      <x:c r="E8" s="47" t="str">
        <x:v>INVALID_ACTION；DICE_SEQUENCE_EMPTY</x:v>
      </x:c>
      <x:c r="F8" s="47" t="str">
        <x:v>V2随机控制未接入</x:v>
      </x:c>
      <x:c r="G8" s="47" t="str">
        <x:v>用例已按2.0规范提供 random_control.streams.DICE=[3], 但测试入口仍返回旧式 DICE_SEQUENCE_EMPTY，说明 monopoly_test 尚未读取或传递2.0具名随机流。</x:v>
      </x:c>
      <x:c r="H8" s="47" t="str">
        <x:v>开发/测试接口适配</x:v>
      </x:c>
      <x:c r="I8" s="62" t="str">
        <x:v>P0</x:v>
      </x:c>
      <x:c r="J8" s="47" t="str">
        <x:v>让STATE测试入口解析 random_control.streams.DICE，并按规范逐次消费；同步统一耗尽错误码并增加接口单元测试。</x:v>
      </x:c>
    </x:row>
    <x:row r="9" ht="58" customHeight="1">
      <x:c r="A9" s="53" t="n">
        <x:v>5</x:v>
      </x:c>
      <x:c r="B9" s="47" t="str">
        <x:v>Case_A8_004</x:v>
      </x:c>
      <x:c r="C9" s="62" t="str">
        <x:v>ERROR</x:v>
      </x:c>
      <x:c r="D9" s="47" t="str">
        <x:v>A8 Roll掷骰子移动</x:v>
      </x:c>
      <x:c r="E9" s="47" t="str">
        <x:v>INVALID_ACTION；DICE_SEQUENCE_EMPTY</x:v>
      </x:c>
      <x:c r="F9" s="47" t="str">
        <x:v>V2随机控制未接入</x:v>
      </x:c>
      <x:c r="G9" s="47" t="str">
        <x:v>用例已按2.0规范提供 random_control.streams.DICE=[2], 但测试入口仍返回旧式 DICE_SEQUENCE_EMPTY，说明 monopoly_test 尚未读取或传递2.0具名随机流。</x:v>
      </x:c>
      <x:c r="H9" s="47" t="str">
        <x:v>开发/测试接口适配</x:v>
      </x:c>
      <x:c r="I9" s="62" t="str">
        <x:v>P0</x:v>
      </x:c>
      <x:c r="J9" s="47" t="str">
        <x:v>让STATE测试入口解析 random_control.streams.DICE，并按规范逐次消费；同步统一耗尽错误码并增加接口单元测试。</x:v>
      </x:c>
    </x:row>
    <x:row r="10" ht="58" customHeight="1">
      <x:c r="A10" s="53" t="n">
        <x:v>6</x:v>
      </x:c>
      <x:c r="B10" s="47" t="str">
        <x:v>Case_A8_005</x:v>
      </x:c>
      <x:c r="C10" s="62" t="str">
        <x:v>ERROR</x:v>
      </x:c>
      <x:c r="D10" s="47" t="str">
        <x:v>A8 Roll掷骰子移动</x:v>
      </x:c>
      <x:c r="E10" s="47" t="str">
        <x:v>INVALID_ACTION；DICE_SEQUENCE_EMPTY</x:v>
      </x:c>
      <x:c r="F10" s="47" t="str">
        <x:v>V2随机控制未接入</x:v>
      </x:c>
      <x:c r="G10" s="47" t="str">
        <x:v>用例已按2.0规范提供 random_control.streams.DICE=[2], 但测试入口仍返回旧式 DICE_SEQUENCE_EMPTY，说明 monopoly_test 尚未读取或传递2.0具名随机流。</x:v>
      </x:c>
      <x:c r="H10" s="47" t="str">
        <x:v>开发/测试接口适配</x:v>
      </x:c>
      <x:c r="I10" s="62" t="str">
        <x:v>P0</x:v>
      </x:c>
      <x:c r="J10" s="47" t="str">
        <x:v>让STATE测试入口解析 random_control.streams.DICE，并按规范逐次消费；同步统一耗尽错误码并增加接口单元测试。</x:v>
      </x:c>
    </x:row>
    <x:row r="11" ht="58" customHeight="1">
      <x:c r="A11" s="53" t="n">
        <x:v>7</x:v>
      </x:c>
      <x:c r="B11" s="47" t="str">
        <x:v>Case_A8_006</x:v>
      </x:c>
      <x:c r="C11" s="62" t="str">
        <x:v>ERROR</x:v>
      </x:c>
      <x:c r="D11" s="47" t="str">
        <x:v>A8 Roll掷骰子移动</x:v>
      </x:c>
      <x:c r="E11" s="47" t="str">
        <x:v>INVALID_ACTION；DICE_SEQUENCE_EMPTY</x:v>
      </x:c>
      <x:c r="F11" s="47" t="str">
        <x:v>V2随机控制未接入</x:v>
      </x:c>
      <x:c r="G11" s="47" t="str">
        <x:v>用例已按2.0规范提供 random_control.streams.DICE=[6], 但测试入口仍返回旧式 DICE_SEQUENCE_EMPTY，说明 monopoly_test 尚未读取或传递2.0具名随机流。</x:v>
      </x:c>
      <x:c r="H11" s="47" t="str">
        <x:v>开发/测试接口适配</x:v>
      </x:c>
      <x:c r="I11" s="62" t="str">
        <x:v>P0</x:v>
      </x:c>
      <x:c r="J11" s="47" t="str">
        <x:v>让STATE测试入口解析 random_control.streams.DICE，并按规范逐次消费；同步统一耗尽错误码并增加接口单元测试。</x:v>
      </x:c>
    </x:row>
    <x:row r="12" ht="58" customHeight="1">
      <x:c r="A12" s="53" t="n">
        <x:v>8</x:v>
      </x:c>
      <x:c r="B12" s="47" t="str">
        <x:v>Case_A8_007</x:v>
      </x:c>
      <x:c r="C12" s="62" t="str">
        <x:v>ERROR</x:v>
      </x:c>
      <x:c r="D12" s="47" t="str">
        <x:v>A8 Roll掷骰子移动</x:v>
      </x:c>
      <x:c r="E12" s="47" t="str">
        <x:v>INVALID_ACTION；DICE_SEQUENCE_EMPTY</x:v>
      </x:c>
      <x:c r="F12" s="47" t="str">
        <x:v>V2随机控制未接入</x:v>
      </x:c>
      <x:c r="G12" s="47" t="str">
        <x:v>用例已按2.0规范提供 random_control.streams.DICE=[4], 但测试入口仍返回旧式 DICE_SEQUENCE_EMPTY，说明 monopoly_test 尚未读取或传递2.0具名随机流。</x:v>
      </x:c>
      <x:c r="H12" s="47" t="str">
        <x:v>开发/测试接口适配</x:v>
      </x:c>
      <x:c r="I12" s="62" t="str">
        <x:v>P0</x:v>
      </x:c>
      <x:c r="J12" s="47" t="str">
        <x:v>让STATE测试入口解析 random_control.streams.DICE，并按规范逐次消费；同步统一耗尽错误码并增加接口单元测试。</x:v>
      </x:c>
    </x:row>
    <x:row r="13" ht="58" customHeight="1">
      <x:c r="A13" s="53" t="n">
        <x:v>9</x:v>
      </x:c>
      <x:c r="B13" s="47" t="str">
        <x:v>Case_A8_008</x:v>
      </x:c>
      <x:c r="C13" s="62" t="str">
        <x:v>ERROR</x:v>
      </x:c>
      <x:c r="D13" s="47" t="str">
        <x:v>A8 Roll掷骰子移动</x:v>
      </x:c>
      <x:c r="E13" s="47" t="str">
        <x:v>INVALID_ACTION；DICE_SEQUENCE_EMPTY</x:v>
      </x:c>
      <x:c r="F13" s="47" t="str">
        <x:v>V2随机控制未接入</x:v>
      </x:c>
      <x:c r="G13" s="47" t="str">
        <x:v>用例已按2.0规范提供 random_control.streams.DICE=[1], 但测试入口仍返回旧式 DICE_SEQUENCE_EMPTY，说明 monopoly_test 尚未读取或传递2.0具名随机流。</x:v>
      </x:c>
      <x:c r="H13" s="47" t="str">
        <x:v>开发/测试接口适配</x:v>
      </x:c>
      <x:c r="I13" s="62" t="str">
        <x:v>P0</x:v>
      </x:c>
      <x:c r="J13" s="47" t="str">
        <x:v>让STATE测试入口解析 random_control.streams.DICE，并按规范逐次消费；同步统一耗尽错误码并增加接口单元测试。</x:v>
      </x:c>
    </x:row>
    <x:row r="14" ht="58" customHeight="1">
      <x:c r="A14" s="53" t="n">
        <x:v>10</x:v>
      </x:c>
      <x:c r="B14" s="47" t="str">
        <x:v>Case_A8_009</x:v>
      </x:c>
      <x:c r="C14" s="62" t="str">
        <x:v>ERROR</x:v>
      </x:c>
      <x:c r="D14" s="47" t="str">
        <x:v>A8 Roll掷骰子移动</x:v>
      </x:c>
      <x:c r="E14" s="47" t="str">
        <x:v>INVALID_ACTION；DICE_SEQUENCE_EMPTY</x:v>
      </x:c>
      <x:c r="F14" s="47" t="str">
        <x:v>V2随机控制未接入</x:v>
      </x:c>
      <x:c r="G14" s="47" t="str">
        <x:v>用例已按2.0规范提供 random_control.streams.DICE=[5], 但测试入口仍返回旧式 DICE_SEQUENCE_EMPTY，说明 monopoly_test 尚未读取或传递2.0具名随机流。</x:v>
      </x:c>
      <x:c r="H14" s="47" t="str">
        <x:v>开发/测试接口适配</x:v>
      </x:c>
      <x:c r="I14" s="62" t="str">
        <x:v>P0</x:v>
      </x:c>
      <x:c r="J14" s="47" t="str">
        <x:v>让STATE测试入口解析 random_control.streams.DICE，并按规范逐次消费；同步统一耗尽错误码并增加接口单元测试。</x:v>
      </x:c>
    </x:row>
    <x:row r="15" ht="58" customHeight="1">
      <x:c r="A15" s="53" t="n">
        <x:v>11</x:v>
      </x:c>
      <x:c r="B15" s="47" t="str">
        <x:v>Case_A8_010</x:v>
      </x:c>
      <x:c r="C15" s="62" t="str">
        <x:v>ERROR</x:v>
      </x:c>
      <x:c r="D15" s="47" t="str">
        <x:v>A8 Roll掷骰子移动</x:v>
      </x:c>
      <x:c r="E15" s="47" t="str">
        <x:v>INVALID_ACTION；DICE_SEQUENCE_EMPTY</x:v>
      </x:c>
      <x:c r="F15" s="47" t="str">
        <x:v>V2随机控制未接入</x:v>
      </x:c>
      <x:c r="G15" s="47" t="str">
        <x:v>用例已按2.0规范提供 random_control.streams.DICE=[4], 但测试入口仍返回旧式 DICE_SEQUENCE_EMPTY，说明 monopoly_test 尚未读取或传递2.0具名随机流。</x:v>
      </x:c>
      <x:c r="H15" s="47" t="str">
        <x:v>开发/测试接口适配</x:v>
      </x:c>
      <x:c r="I15" s="62" t="str">
        <x:v>P0</x:v>
      </x:c>
      <x:c r="J15" s="47" t="str">
        <x:v>让STATE测试入口解析 random_control.streams.DICE，并按规范逐次消费；同步统一耗尽错误码并增加接口单元测试。</x:v>
      </x:c>
    </x:row>
    <x:row r="16" ht="58" customHeight="1">
      <x:c r="A16" s="53" t="n">
        <x:v>12</x:v>
      </x:c>
      <x:c r="B16" s="47" t="str">
        <x:v>Case_A8_011</x:v>
      </x:c>
      <x:c r="C16" s="62" t="str">
        <x:v>ERROR</x:v>
      </x:c>
      <x:c r="D16" s="47" t="str">
        <x:v>A8 Roll掷骰子移动</x:v>
      </x:c>
      <x:c r="E16" s="47" t="str">
        <x:v>INVALID_ACTION；DICE_SEQUENCE_EMPTY</x:v>
      </x:c>
      <x:c r="F16" s="47" t="str">
        <x:v>V2随机控制未接入</x:v>
      </x:c>
      <x:c r="G16" s="47" t="str">
        <x:v>用例已按2.0规范提供 random_control.streams.DICE=[4], 但测试入口仍返回旧式 DICE_SEQUENCE_EMPTY，说明 monopoly_test 尚未读取或传递2.0具名随机流。</x:v>
      </x:c>
      <x:c r="H16" s="47" t="str">
        <x:v>开发/测试接口适配</x:v>
      </x:c>
      <x:c r="I16" s="62" t="str">
        <x:v>P0</x:v>
      </x:c>
      <x:c r="J16" s="47" t="str">
        <x:v>让STATE测试入口解析 random_control.streams.DICE，并按规范逐次消费；同步统一耗尽错误码并增加接口单元测试。</x:v>
      </x:c>
    </x:row>
    <x:row r="17" ht="58" customHeight="1">
      <x:c r="A17" s="53" t="n">
        <x:v>13</x:v>
      </x:c>
      <x:c r="B17" s="47" t="str">
        <x:v>Case_A8_012</x:v>
      </x:c>
      <x:c r="C17" s="62" t="str">
        <x:v>ERROR</x:v>
      </x:c>
      <x:c r="D17" s="47" t="str">
        <x:v>A8 Roll掷骰子移动</x:v>
      </x:c>
      <x:c r="E17" s="47" t="str">
        <x:v>INVALID_ACTION；DICE_SEQUENCE_EMPTY</x:v>
      </x:c>
      <x:c r="F17" s="47" t="str">
        <x:v>V2随机控制未接入</x:v>
      </x:c>
      <x:c r="G17" s="47" t="str">
        <x:v>用例已按2.0规范提供 random_control.streams.DICE=[5], 但测试入口仍返回旧式 DICE_SEQUENCE_EMPTY，说明 monopoly_test 尚未读取或传递2.0具名随机流。</x:v>
      </x:c>
      <x:c r="H17" s="47" t="str">
        <x:v>开发/测试接口适配</x:v>
      </x:c>
      <x:c r="I17" s="62" t="str">
        <x:v>P0</x:v>
      </x:c>
      <x:c r="J17" s="47" t="str">
        <x:v>让STATE测试入口解析 random_control.streams.DICE，并按规范逐次消费；同步统一耗尽错误码并增加接口单元测试。</x:v>
      </x:c>
    </x:row>
    <x:row r="18" ht="58" customHeight="1">
      <x:c r="A18" s="53" t="n">
        <x:v>14</x:v>
      </x:c>
      <x:c r="B18" s="47" t="str">
        <x:v>Case_A8_013</x:v>
      </x:c>
      <x:c r="C18" s="62" t="str">
        <x:v>ERROR</x:v>
      </x:c>
      <x:c r="D18" s="47" t="str">
        <x:v>A8 Roll掷骰子移动</x:v>
      </x:c>
      <x:c r="E18" s="47" t="str">
        <x:v>INVALID_ACTION；DICE_SEQUENCE_EMPTY</x:v>
      </x:c>
      <x:c r="F18" s="47" t="str">
        <x:v>V2随机控制未接入</x:v>
      </x:c>
      <x:c r="G18" s="47" t="str">
        <x:v>用例已按2.0规范提供 random_control.streams.DICE=[2], 但测试入口仍返回旧式 DICE_SEQUENCE_EMPTY，说明 monopoly_test 尚未读取或传递2.0具名随机流。</x:v>
      </x:c>
      <x:c r="H18" s="47" t="str">
        <x:v>开发/测试接口适配</x:v>
      </x:c>
      <x:c r="I18" s="62" t="str">
        <x:v>P0</x:v>
      </x:c>
      <x:c r="J18" s="47" t="str">
        <x:v>让STATE测试入口解析 random_control.streams.DICE，并按规范逐次消费；同步统一耗尽错误码并增加接口单元测试。</x:v>
      </x:c>
    </x:row>
    <x:row r="19" ht="58" customHeight="1">
      <x:c r="A19" s="53" t="n">
        <x:v>15</x:v>
      </x:c>
      <x:c r="B19" s="47" t="str">
        <x:v>Case_A8_014</x:v>
      </x:c>
      <x:c r="C19" s="62" t="str">
        <x:v>ERROR</x:v>
      </x:c>
      <x:c r="D19" s="47" t="str">
        <x:v>A8 Roll掷骰子移动</x:v>
      </x:c>
      <x:c r="E19" s="47" t="str">
        <x:v>INVALID_ACTION；DICE_SEQUENCE_EMPTY</x:v>
      </x:c>
      <x:c r="F19" s="47" t="str">
        <x:v>V2随机控制未接入</x:v>
      </x:c>
      <x:c r="G19" s="47" t="str">
        <x:v>用例已按2.0规范提供 random_control.streams.DICE=[3], 但测试入口仍返回旧式 DICE_SEQUENCE_EMPTY，说明 monopoly_test 尚未读取或传递2.0具名随机流。</x:v>
      </x:c>
      <x:c r="H19" s="47" t="str">
        <x:v>开发/测试接口适配</x:v>
      </x:c>
      <x:c r="I19" s="62" t="str">
        <x:v>P0</x:v>
      </x:c>
      <x:c r="J19" s="47" t="str">
        <x:v>让STATE测试入口解析 random_control.streams.DICE，并按规范逐次消费；同步统一耗尽错误码并增加接口单元测试。</x:v>
      </x:c>
    </x:row>
    <x:row r="20" ht="58" customHeight="1">
      <x:c r="A20" s="53" t="n">
        <x:v>16</x:v>
      </x:c>
      <x:c r="B20" s="47" t="str">
        <x:v>Case_A8_015</x:v>
      </x:c>
      <x:c r="C20" s="62" t="str">
        <x:v>ERROR</x:v>
      </x:c>
      <x:c r="D20" s="47" t="str">
        <x:v>A8 Roll掷骰子移动</x:v>
      </x:c>
      <x:c r="E20" s="47" t="str">
        <x:v>INVALID_ACTION；DICE_SEQUENCE_EMPTY</x:v>
      </x:c>
      <x:c r="F20" s="47" t="str">
        <x:v>V2随机控制未接入</x:v>
      </x:c>
      <x:c r="G20" s="47" t="str">
        <x:v>用例已按2.0规范提供 random_control.streams.DICE=[2], 但测试入口仍返回旧式 DICE_SEQUENCE_EMPTY，说明 monopoly_test 尚未读取或传递2.0具名随机流。</x:v>
      </x:c>
      <x:c r="H20" s="47" t="str">
        <x:v>开发/测试接口适配</x:v>
      </x:c>
      <x:c r="I20" s="62" t="str">
        <x:v>P0</x:v>
      </x:c>
      <x:c r="J20" s="47" t="str">
        <x:v>让STATE测试入口解析 random_control.streams.DICE，并按规范逐次消费；同步统一耗尽错误码并增加接口单元测试。</x:v>
      </x:c>
    </x:row>
    <x:row r="21" ht="58" customHeight="1">
      <x:c r="A21" s="53" t="n">
        <x:v>17</x:v>
      </x:c>
      <x:c r="B21" s="47" t="str">
        <x:v>Case_A8_016</x:v>
      </x:c>
      <x:c r="C21" s="62" t="str">
        <x:v>ERROR</x:v>
      </x:c>
      <x:c r="D21" s="47" t="str">
        <x:v>A8 Roll掷骰子移动</x:v>
      </x:c>
      <x:c r="E21" s="47" t="str">
        <x:v>INVALID_ACTION；DICE_SEQUENCE_EMPTY</x:v>
      </x:c>
      <x:c r="F21" s="47" t="str">
        <x:v>V2随机控制未接入</x:v>
      </x:c>
      <x:c r="G21" s="47" t="str">
        <x:v>用例已按2.0规范提供 random_control.streams.DICE=[2], 但测试入口仍返回旧式 DICE_SEQUENCE_EMPTY，说明 monopoly_test 尚未读取或传递2.0具名随机流。</x:v>
      </x:c>
      <x:c r="H21" s="47" t="str">
        <x:v>开发/测试接口适配</x:v>
      </x:c>
      <x:c r="I21" s="62" t="str">
        <x:v>P0</x:v>
      </x:c>
      <x:c r="J21" s="47" t="str">
        <x:v>让STATE测试入口解析 random_control.streams.DICE，并按规范逐次消费；同步统一耗尽错误码并增加接口单元测试。</x:v>
      </x:c>
    </x:row>
    <x:row r="22" ht="58" customHeight="1">
      <x:c r="A22" s="53" t="n">
        <x:v>18</x:v>
      </x:c>
      <x:c r="B22" s="47" t="str">
        <x:v>Case_A8_017</x:v>
      </x:c>
      <x:c r="C22" s="62" t="str">
        <x:v>ERROR</x:v>
      </x:c>
      <x:c r="D22" s="47" t="str">
        <x:v>A8 Roll掷骰子移动</x:v>
      </x:c>
      <x:c r="E22" s="47" t="str">
        <x:v>INVALID_ACTION；DICE_SEQUENCE_EMPTY</x:v>
      </x:c>
      <x:c r="F22" s="47" t="str">
        <x:v>V2随机控制未接入</x:v>
      </x:c>
      <x:c r="G22" s="47" t="str">
        <x:v>用例已按2.0规范提供 random_control.streams.DICE=[3], 但测试入口仍返回旧式 DICE_SEQUENCE_EMPTY，说明 monopoly_test 尚未读取或传递2.0具名随机流。</x:v>
      </x:c>
      <x:c r="H22" s="47" t="str">
        <x:v>开发/测试接口适配</x:v>
      </x:c>
      <x:c r="I22" s="62" t="str">
        <x:v>P0</x:v>
      </x:c>
      <x:c r="J22" s="47" t="str">
        <x:v>让STATE测试入口解析 random_control.streams.DICE，并按规范逐次消费；同步统一耗尽错误码并增加接口单元测试。</x:v>
      </x:c>
    </x:row>
    <x:row r="23" ht="58" customHeight="1">
      <x:c r="A23" s="53" t="n">
        <x:v>19</x:v>
      </x:c>
      <x:c r="B23" s="47" t="str">
        <x:v>Case_A8_018</x:v>
      </x:c>
      <x:c r="C23" s="62" t="str">
        <x:v>ERROR</x:v>
      </x:c>
      <x:c r="D23" s="47" t="str">
        <x:v>A8 Roll掷骰子移动</x:v>
      </x:c>
      <x:c r="E23" s="47" t="str">
        <x:v>INVALID_ACTION；DICE_SEQUENCE_EMPTY</x:v>
      </x:c>
      <x:c r="F23" s="47" t="str">
        <x:v>V2随机控制未接入</x:v>
      </x:c>
      <x:c r="G23" s="47" t="str">
        <x:v>用例已按2.0规范提供 random_control.streams.DICE=[1], 但测试入口仍返回旧式 DICE_SEQUENCE_EMPTY，说明 monopoly_test 尚未读取或传递2.0具名随机流。</x:v>
      </x:c>
      <x:c r="H23" s="47" t="str">
        <x:v>开发/测试接口适配</x:v>
      </x:c>
      <x:c r="I23" s="62" t="str">
        <x:v>P0</x:v>
      </x:c>
      <x:c r="J23" s="47" t="str">
        <x:v>让STATE测试入口解析 random_control.streams.DICE，并按规范逐次消费；同步统一耗尽错误码并增加接口单元测试。</x:v>
      </x:c>
    </x:row>
    <x:row r="24" ht="58" customHeight="1">
      <x:c r="A24" s="53" t="n">
        <x:v>20</x:v>
      </x:c>
      <x:c r="B24" s="47" t="str">
        <x:v>Case_A8_019</x:v>
      </x:c>
      <x:c r="C24" s="62" t="str">
        <x:v>ERROR</x:v>
      </x:c>
      <x:c r="D24" s="47" t="str">
        <x:v>A8 Roll掷骰子移动</x:v>
      </x:c>
      <x:c r="E24" s="47" t="str">
        <x:v>INVALID_ACTION；DICE_SEQUENCE_EMPTY</x:v>
      </x:c>
      <x:c r="F24" s="47" t="str">
        <x:v>V2随机控制未接入</x:v>
      </x:c>
      <x:c r="G24" s="47" t="str">
        <x:v>用例已按2.0规范提供 random_control.streams.DICE=[6], 但测试入口仍返回旧式 DICE_SEQUENCE_EMPTY，说明 monopoly_test 尚未读取或传递2.0具名随机流。</x:v>
      </x:c>
      <x:c r="H24" s="47" t="str">
        <x:v>开发/测试接口适配</x:v>
      </x:c>
      <x:c r="I24" s="62" t="str">
        <x:v>P0</x:v>
      </x:c>
      <x:c r="J24" s="47" t="str">
        <x:v>让STATE测试入口解析 random_control.streams.DICE，并按规范逐次消费；同步统一耗尽错误码并增加接口单元测试。</x:v>
      </x:c>
    </x:row>
    <x:row r="25" ht="58" customHeight="1">
      <x:c r="A25" s="53" t="n">
        <x:v>21</x:v>
      </x:c>
      <x:c r="B25" s="47" t="str">
        <x:v>Case_A8_020</x:v>
      </x:c>
      <x:c r="C25" s="62" t="str">
        <x:v>ERROR</x:v>
      </x:c>
      <x:c r="D25" s="47" t="str">
        <x:v>A8 Roll掷骰子移动</x:v>
      </x:c>
      <x:c r="E25" s="47" t="str">
        <x:v>INVALID_ACTION；DICE_SEQUENCE_EMPTY</x:v>
      </x:c>
      <x:c r="F25" s="47" t="str">
        <x:v>V2随机控制未接入</x:v>
      </x:c>
      <x:c r="G25" s="47" t="str">
        <x:v>用例已按2.0规范提供 random_control.streams.DICE=[6], 但测试入口仍返回旧式 DICE_SEQUENCE_EMPTY，说明 monopoly_test 尚未读取或传递2.0具名随机流。</x:v>
      </x:c>
      <x:c r="H25" s="47" t="str">
        <x:v>开发/测试接口适配</x:v>
      </x:c>
      <x:c r="I25" s="62" t="str">
        <x:v>P0</x:v>
      </x:c>
      <x:c r="J25" s="47" t="str">
        <x:v>让STATE测试入口解析 random_control.streams.DICE，并按规范逐次消费；同步统一耗尽错误码并增加接口单元测试。</x:v>
      </x:c>
    </x:row>
    <x:row r="26" ht="58" customHeight="1">
      <x:c r="A26" s="53" t="n">
        <x:v>22</x:v>
      </x:c>
      <x:c r="B26" s="47" t="str">
        <x:v>Case_A8_021</x:v>
      </x:c>
      <x:c r="C26" s="62" t="str">
        <x:v>ERROR</x:v>
      </x:c>
      <x:c r="D26" s="47" t="str">
        <x:v>A8 Roll掷骰子移动</x:v>
      </x:c>
      <x:c r="E26" s="47" t="str">
        <x:v>INVALID_ACTION；DICE_SEQUENCE_EMPTY</x:v>
      </x:c>
      <x:c r="F26" s="47" t="str">
        <x:v>V2随机控制未接入</x:v>
      </x:c>
      <x:c r="G26" s="47" t="str">
        <x:v>用例已按2.0规范提供 random_control.streams.DICE=[6], 但测试入口仍返回旧式 DICE_SEQUENCE_EMPTY，说明 monopoly_test 尚未读取或传递2.0具名随机流。</x:v>
      </x:c>
      <x:c r="H26" s="47" t="str">
        <x:v>开发/测试接口适配</x:v>
      </x:c>
      <x:c r="I26" s="62" t="str">
        <x:v>P0</x:v>
      </x:c>
      <x:c r="J26" s="47" t="str">
        <x:v>让STATE测试入口解析 random_control.streams.DICE，并按规范逐次消费；同步统一耗尽错误码并增加接口单元测试。</x:v>
      </x:c>
    </x:row>
    <x:row r="27" ht="58" customHeight="1">
      <x:c r="A27" s="53" t="n">
        <x:v>23</x:v>
      </x:c>
      <x:c r="B27" s="47" t="str">
        <x:v>Case_A8_022</x:v>
      </x:c>
      <x:c r="C27" s="62" t="str">
        <x:v>ERROR</x:v>
      </x:c>
      <x:c r="D27" s="47" t="str">
        <x:v>A8 Roll掷骰子移动</x:v>
      </x:c>
      <x:c r="E27" s="47" t="str">
        <x:v>INVALID_ACTION；DICE_SEQUENCE_EMPTY</x:v>
      </x:c>
      <x:c r="F27" s="47" t="str">
        <x:v>V2随机控制未接入</x:v>
      </x:c>
      <x:c r="G27" s="47" t="str">
        <x:v>用例已按2.0规范提供 random_control.streams.DICE=[6], 但测试入口仍返回旧式 DICE_SEQUENCE_EMPTY，说明 monopoly_test 尚未读取或传递2.0具名随机流。</x:v>
      </x:c>
      <x:c r="H27" s="47" t="str">
        <x:v>开发/测试接口适配</x:v>
      </x:c>
      <x:c r="I27" s="62" t="str">
        <x:v>P0</x:v>
      </x:c>
      <x:c r="J27" s="47" t="str">
        <x:v>让STATE测试入口解析 random_control.streams.DICE，并按规范逐次消费；同步统一耗尽错误码并增加接口单元测试。</x:v>
      </x:c>
    </x:row>
    <x:row r="28" ht="58" customHeight="1">
      <x:c r="A28" s="53" t="n">
        <x:v>24</x:v>
      </x:c>
      <x:c r="B28" s="47" t="str">
        <x:v>Case_A14_001</x:v>
      </x:c>
      <x:c r="C28" s="62" t="str">
        <x:v>ERROR</x:v>
      </x:c>
      <x:c r="D28" s="47" t="str">
        <x:v>A14 财神随机出现与获取</x:v>
      </x:c>
      <x:c r="E28" s="47" t="str">
        <x:v>INVALID_ACTION；unknown command</x:v>
      </x:c>
      <x:c r="F28" s="47" t="str">
        <x:v>ADVANCE_TURN未实现</x:v>
      </x:c>
      <x:c r="G28" s="47" t="str">
        <x:v>JSON 2.0规定 ADVANCE_TURN 为STATE测试专用控制动作，但当前 monopoly_test 将其识别为 unknown command，导致财神计时和回合推进场景无法执行。</x:v>
      </x:c>
      <x:c r="H28" s="47" t="str">
        <x:v>开发/测试接口适配</x:v>
      </x:c>
      <x:c r="I28" s="62" t="str">
        <x:v>P0</x:v>
      </x:c>
      <x:c r="J28" s="47" t="str">
        <x:v>在STATE动作分发器实现 ADVANCE_TURN：原地结束当前玩家回合、切换玩家并推进回合/财神计时，不触发移动或落点事件。</x:v>
      </x:c>
    </x:row>
    <x:row r="29" ht="58" customHeight="1">
      <x:c r="A29" s="53" t="n">
        <x:v>25</x:v>
      </x:c>
      <x:c r="B29" s="47" t="str">
        <x:v>Case_A14_002</x:v>
      </x:c>
      <x:c r="C29" s="62" t="str">
        <x:v>ERROR</x:v>
      </x:c>
      <x:c r="D29" s="47" t="str">
        <x:v>A14 财神随机出现与获取</x:v>
      </x:c>
      <x:c r="E29" s="47" t="str">
        <x:v>INVALID_ACTION；unknown command</x:v>
      </x:c>
      <x:c r="F29" s="47" t="str">
        <x:v>ADVANCE_TURN未实现</x:v>
      </x:c>
      <x:c r="G29" s="47" t="str">
        <x:v>JSON 2.0规定 ADVANCE_TURN 为STATE测试专用控制动作，但当前 monopoly_test 将其识别为 unknown command，导致财神计时和回合推进场景无法执行。</x:v>
      </x:c>
      <x:c r="H29" s="47" t="str">
        <x:v>开发/测试接口适配</x:v>
      </x:c>
      <x:c r="I29" s="62" t="str">
        <x:v>P0</x:v>
      </x:c>
      <x:c r="J29" s="47" t="str">
        <x:v>在STATE动作分发器实现 ADVANCE_TURN：原地结束当前玩家回合、切换玩家并推进回合/财神计时，不触发移动或落点事件。</x:v>
      </x:c>
    </x:row>
    <x:row r="30" ht="58" customHeight="1">
      <x:c r="A30" s="53" t="n">
        <x:v>26</x:v>
      </x:c>
      <x:c r="B30" s="47" t="str">
        <x:v>Case_A14_003</x:v>
      </x:c>
      <x:c r="C30" s="62" t="str">
        <x:v>ERROR</x:v>
      </x:c>
      <x:c r="D30" s="47" t="str">
        <x:v>A14 财神随机出现与获取</x:v>
      </x:c>
      <x:c r="E30" s="47" t="str">
        <x:v>INVALID_ACTION；unknown command</x:v>
      </x:c>
      <x:c r="F30" s="47" t="str">
        <x:v>ADVANCE_TURN未实现</x:v>
      </x:c>
      <x:c r="G30" s="47" t="str">
        <x:v>JSON 2.0规定 ADVANCE_TURN 为STATE测试专用控制动作，但当前 monopoly_test 将其识别为 unknown command，导致财神计时和回合推进场景无法执行。</x:v>
      </x:c>
      <x:c r="H30" s="47" t="str">
        <x:v>开发/测试接口适配</x:v>
      </x:c>
      <x:c r="I30" s="62" t="str">
        <x:v>P0</x:v>
      </x:c>
      <x:c r="J30" s="47" t="str">
        <x:v>在STATE动作分发器实现 ADVANCE_TURN：原地结束当前玩家回合、切换玩家并推进回合/财神计时，不触发移动或落点事件。</x:v>
      </x:c>
    </x:row>
    <x:row r="31" ht="58" customHeight="1">
      <x:c r="A31" s="53" t="n">
        <x:v>27</x:v>
      </x:c>
      <x:c r="B31" s="47" t="str">
        <x:v>Case_A14_004</x:v>
      </x:c>
      <x:c r="C31" s="62" t="str">
        <x:v>ERROR</x:v>
      </x:c>
      <x:c r="D31" s="47" t="str">
        <x:v>A14 财神随机出现与获取</x:v>
      </x:c>
      <x:c r="E31" s="47" t="str">
        <x:v>INVALID_ACTION；unknown command</x:v>
      </x:c>
      <x:c r="F31" s="47" t="str">
        <x:v>ADVANCE_TURN未实现</x:v>
      </x:c>
      <x:c r="G31" s="47" t="str">
        <x:v>JSON 2.0规定 ADVANCE_TURN 为STATE测试专用控制动作，但当前 monopoly_test 将其识别为 unknown command，导致财神计时和回合推进场景无法执行。</x:v>
      </x:c>
      <x:c r="H31" s="47" t="str">
        <x:v>开发/测试接口适配</x:v>
      </x:c>
      <x:c r="I31" s="62" t="str">
        <x:v>P0</x:v>
      </x:c>
      <x:c r="J31" s="47" t="str">
        <x:v>在STATE动作分发器实现 ADVANCE_TURN：原地结束当前玩家回合、切换玩家并推进回合/财神计时，不触发移动或落点事件。</x:v>
      </x:c>
    </x:row>
    <x:row r="32" ht="58" customHeight="1">
      <x:c r="A32" s="53" t="n">
        <x:v>28</x:v>
      </x:c>
      <x:c r="B32" s="47" t="str">
        <x:v>Case_A14_005</x:v>
      </x:c>
      <x:c r="C32" s="62" t="str">
        <x:v>ERROR</x:v>
      </x:c>
      <x:c r="D32" s="47" t="str">
        <x:v>A14 财神随机出现与获取</x:v>
      </x:c>
      <x:c r="E32" s="47" t="str">
        <x:v>INVALID_ACTION；unknown command</x:v>
      </x:c>
      <x:c r="F32" s="47" t="str">
        <x:v>ADVANCE_TURN未实现</x:v>
      </x:c>
      <x:c r="G32" s="47" t="str">
        <x:v>JSON 2.0规定 ADVANCE_TURN 为STATE测试专用控制动作，但当前 monopoly_test 将其识别为 unknown command，导致财神计时和回合推进场景无法执行。</x:v>
      </x:c>
      <x:c r="H32" s="47" t="str">
        <x:v>开发/测试接口适配</x:v>
      </x:c>
      <x:c r="I32" s="62" t="str">
        <x:v>P0</x:v>
      </x:c>
      <x:c r="J32" s="47" t="str">
        <x:v>在STATE动作分发器实现 ADVANCE_TURN：原地结束当前玩家回合、切换玩家并推进回合/财神计时，不触发移动或落点事件。</x:v>
      </x:c>
    </x:row>
    <x:row r="33" ht="58" customHeight="1">
      <x:c r="A33" s="53" t="n">
        <x:v>29</x:v>
      </x:c>
      <x:c r="B33" s="47" t="str">
        <x:v>Case_A14_006</x:v>
      </x:c>
      <x:c r="C33" s="62" t="str">
        <x:v>ERROR</x:v>
      </x:c>
      <x:c r="D33" s="47" t="str">
        <x:v>A14 财神随机出现与获取</x:v>
      </x:c>
      <x:c r="E33" s="47" t="str">
        <x:v>INVALID_ACTION；unknown command</x:v>
      </x:c>
      <x:c r="F33" s="47" t="str">
        <x:v>ADVANCE_TURN未实现</x:v>
      </x:c>
      <x:c r="G33" s="47" t="str">
        <x:v>JSON 2.0规定 ADVANCE_TURN 为STATE测试专用控制动作，但当前 monopoly_test 将其识别为 unknown command，导致财神计时和回合推进场景无法执行。</x:v>
      </x:c>
      <x:c r="H33" s="47" t="str">
        <x:v>开发/测试接口适配</x:v>
      </x:c>
      <x:c r="I33" s="62" t="str">
        <x:v>P0</x:v>
      </x:c>
      <x:c r="J33" s="47" t="str">
        <x:v>在STATE动作分发器实现 ADVANCE_TURN：原地结束当前玩家回合、切换玩家并推进回合/财神计时，不触发移动或落点事件。</x:v>
      </x:c>
    </x:row>
    <x:row r="34" ht="58" customHeight="1">
      <x:c r="A34" s="53" t="n">
        <x:v>30</x:v>
      </x:c>
      <x:c r="B34" s="47" t="str">
        <x:v>Case_A14_007</x:v>
      </x:c>
      <x:c r="C34" s="62" t="str">
        <x:v>ERROR</x:v>
      </x:c>
      <x:c r="D34" s="47" t="str">
        <x:v>A14 财神随机出现与获取</x:v>
      </x:c>
      <x:c r="E34" s="47" t="str">
        <x:v>INVALID_ACTION；unknown command</x:v>
      </x:c>
      <x:c r="F34" s="47" t="str">
        <x:v>ADVANCE_TURN未实现</x:v>
      </x:c>
      <x:c r="G34" s="47" t="str">
        <x:v>JSON 2.0规定 ADVANCE_TURN 为STATE测试专用控制动作，但当前 monopoly_test 将其识别为 unknown command，导致财神计时和回合推进场景无法执行。</x:v>
      </x:c>
      <x:c r="H34" s="47" t="str">
        <x:v>开发/测试接口适配</x:v>
      </x:c>
      <x:c r="I34" s="62" t="str">
        <x:v>P0</x:v>
      </x:c>
      <x:c r="J34" s="47" t="str">
        <x:v>在STATE动作分发器实现 ADVANCE_TURN：原地结束当前玩家回合、切换玩家并推进回合/财神计时，不触发移动或落点事件。</x:v>
      </x:c>
    </x:row>
    <x:row r="35" ht="58" customHeight="1">
      <x:c r="A35" s="53" t="n">
        <x:v>31</x:v>
      </x:c>
      <x:c r="B35" s="47" t="str">
        <x:v>Case_A14_008</x:v>
      </x:c>
      <x:c r="C35" s="62" t="str">
        <x:v>ERROR</x:v>
      </x:c>
      <x:c r="D35" s="47" t="str">
        <x:v>A14 财神随机出现与获取</x:v>
      </x:c>
      <x:c r="E35" s="47" t="str">
        <x:v>INVALID_ACTION；unknown command</x:v>
      </x:c>
      <x:c r="F35" s="47" t="str">
        <x:v>ADVANCE_TURN未实现</x:v>
      </x:c>
      <x:c r="G35" s="47" t="str">
        <x:v>JSON 2.0规定 ADVANCE_TURN 为STATE测试专用控制动作，但当前 monopoly_test 将其识别为 unknown command，导致财神计时和回合推进场景无法执行。</x:v>
      </x:c>
      <x:c r="H35" s="47" t="str">
        <x:v>开发/测试接口适配</x:v>
      </x:c>
      <x:c r="I35" s="62" t="str">
        <x:v>P0</x:v>
      </x:c>
      <x:c r="J35" s="47" t="str">
        <x:v>在STATE动作分发器实现 ADVANCE_TURN：原地结束当前玩家回合、切换玩家并推进回合/财神计时，不触发移动或落点事件。</x:v>
      </x:c>
    </x:row>
    <x:row r="36" ht="58" customHeight="1">
      <x:c r="A36" s="53" t="n">
        <x:v>32</x:v>
      </x:c>
      <x:c r="B36" s="47" t="str">
        <x:v>Case_A14_009</x:v>
      </x:c>
      <x:c r="C36" s="62" t="str">
        <x:v>ERROR</x:v>
      </x:c>
      <x:c r="D36" s="47" t="str">
        <x:v>A14 财神随机出现与获取</x:v>
      </x:c>
      <x:c r="E36" s="47" t="str">
        <x:v>INVALID_ACTION；move failed</x:v>
      </x:c>
      <x:c r="F36" s="47" t="str">
        <x:v>测试步骤未处理落点提示</x:v>
      </x:c>
      <x:c r="G36" s="47" t="str">
        <x:v>Q从位置4 STEP 2后停在位置6的无主地产，会进入BUY提示；用例未先ANSWER就继续执行第二个STEP，因此在PROMPT阶段返回 move failed。</x:v>
      </x:c>
      <x:c r="H36" s="47" t="str">
        <x:v>测试资产</x:v>
      </x:c>
      <x:c r="I36" s="62" t="str">
        <x:v>P1</x:v>
      </x:c>
      <x:c r="J36" s="47" t="str">
        <x:v>保持业务期望不变，在两次移动之间补充拒绝购买的ANSWER，或调整首位玩家的终点使其不产生提示。</x:v>
      </x:c>
    </x:row>
    <x:row r="37" ht="58" customHeight="1">
      <x:c r="A37" s="53" t="n">
        <x:v>33</x:v>
      </x:c>
      <x:c r="B37" s="47" t="str">
        <x:v>Case_A14_011</x:v>
      </x:c>
      <x:c r="C37" s="62" t="str">
        <x:v>ERROR</x:v>
      </x:c>
      <x:c r="D37" s="47" t="str">
        <x:v>A14 财神随机出现与获取</x:v>
      </x:c>
      <x:c r="E37" s="47" t="str">
        <x:v>INVALID_ACTION；unknown command</x:v>
      </x:c>
      <x:c r="F37" s="47" t="str">
        <x:v>ADVANCE_TURN未实现</x:v>
      </x:c>
      <x:c r="G37" s="47" t="str">
        <x:v>JSON 2.0规定 ADVANCE_TURN 为STATE测试专用控制动作，但当前 monopoly_test 将其识别为 unknown command，导致财神计时和回合推进场景无法执行。</x:v>
      </x:c>
      <x:c r="H37" s="47" t="str">
        <x:v>开发/测试接口适配</x:v>
      </x:c>
      <x:c r="I37" s="62" t="str">
        <x:v>P0</x:v>
      </x:c>
      <x:c r="J37" s="47" t="str">
        <x:v>在STATE动作分发器实现 ADVANCE_TURN：原地结束当前玩家回合、切换玩家并推进回合/财神计时，不触发移动或落点事件。</x:v>
      </x:c>
    </x:row>
    <x:row r="38" ht="58" customHeight="1">
      <x:c r="A38" s="53" t="n">
        <x:v>34</x:v>
      </x:c>
      <x:c r="B38" s="47" t="str">
        <x:v>Case_A14_012</x:v>
      </x:c>
      <x:c r="C38" s="62" t="str">
        <x:v>ERROR</x:v>
      </x:c>
      <x:c r="D38" s="47" t="str">
        <x:v>A14 财神随机出现与获取</x:v>
      </x:c>
      <x:c r="E38" s="47" t="str">
        <x:v>INVALID_ACTION；unknown command</x:v>
      </x:c>
      <x:c r="F38" s="47" t="str">
        <x:v>ADVANCE_TURN未实现</x:v>
      </x:c>
      <x:c r="G38" s="47" t="str">
        <x:v>JSON 2.0规定 ADVANCE_TURN 为STATE测试专用控制动作，但当前 monopoly_test 将其识别为 unknown command，导致财神计时和回合推进场景无法执行。</x:v>
      </x:c>
      <x:c r="H38" s="47" t="str">
        <x:v>开发/测试接口适配</x:v>
      </x:c>
      <x:c r="I38" s="62" t="str">
        <x:v>P0</x:v>
      </x:c>
      <x:c r="J38" s="47" t="str">
        <x:v>在STATE动作分发器实现 ADVANCE_TURN：原地结束当前玩家回合、切换玩家并推进回合/财神计时，不触发移动或落点事件。</x:v>
      </x:c>
    </x:row>
    <x:row r="39" ht="58" customHeight="1">
      <x:c r="A39" s="54" t="n">
        <x:v>35</x:v>
      </x:c>
      <x:c r="B39" s="48" t="str">
        <x:v>Case_A21_031</x:v>
      </x:c>
      <x:c r="C39" s="63" t="str">
        <x:v>ERROR</x:v>
      </x:c>
      <x:c r="D39" s="48" t="str">
        <x:v>A21 资金低于零破产</x:v>
      </x:c>
      <x:c r="E39" s="48" t="str">
        <x:v>INVALID_ACTION；unknown command</x:v>
      </x:c>
      <x:c r="F39" s="48" t="str">
        <x:v>ADVANCE_TURN未实现</x:v>
      </x:c>
      <x:c r="G39" s="48" t="str">
        <x:v>JSON 2.0规定 ADVANCE_TURN 为STATE测试专用控制动作，但当前 monopoly_test 将其识别为 unknown command，导致财神计时和回合推进场景无法执行。</x:v>
      </x:c>
      <x:c r="H39" s="48" t="str">
        <x:v>开发/测试接口适配</x:v>
      </x:c>
      <x:c r="I39" s="63" t="str">
        <x:v>P0</x:v>
      </x:c>
      <x:c r="J39" s="48" t="str">
        <x:v>在STATE动作分发器实现 ADVANCE_TURN：原地结束当前玩家回合、切换玩家并推进回合/财神计时，不触发移动或落点事件。</x:v>
      </x:c>
    </x:row>
  </x:sheetData>
  <x:mergeCells>
    <x:mergeCell ref="A1:J1"/>
    <x:mergeCell ref="A2:J2"/>
  </x:mergeCells>
  <x:conditionalFormatting sqref="C5:C39">
    <x:cfRule type="containsText" dxfId="3" priority="1" operator="containsText" text="ERROR"/>
    <x:cfRule type="containsText" dxfId="4" priority="2" operator="containsText" text="FAIL"/>
  </x:conditionalFormatting>
  <x:conditionalFormatting sqref="I5:I39">
    <x:cfRule type="containsText" dxfId="5" priority="3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2b1b76a4125b4b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10" hidden="0" customWidth="1"/>
    <x:col min="4" max="4" width="24" hidden="0" customWidth="1"/>
    <x:col min="5" max="5" width="44" hidden="0" customWidth="1"/>
    <x:col min="6" max="6" width="28" hidden="0" customWidth="1"/>
    <x:col min="7" max="7" width="54" hidden="0" customWidth="1"/>
    <x:col min="8" max="8" width="24" hidden="0" customWidth="1"/>
    <x:col min="9" max="9" width="10" hidden="0" customWidth="1"/>
    <x:col min="10" max="10" width="52" hidden="0" customWidth="1"/>
  </x:cols>
  <x:sheetData>
    <x:row r="1" ht="34" customHeight="1">
      <x:c r="A1" s="71" t="str">
        <x:v>FAIL 明细：执行完成但断言不一致</x:v>
      </x:c>
      <x:c r="B1" s="72"/>
      <x:c r="C1" s="72"/>
      <x:c r="D1" s="72"/>
      <x:c r="E1" s="72"/>
      <x:c r="F1" s="72"/>
      <x:c r="G1" s="72"/>
      <x:c r="H1" s="72"/>
      <x:c r="I1" s="72"/>
      <x:c r="J1" s="72"/>
    </x:row>
    <x:row r="2">
      <x:c r="A2" s="7" t="str">
        <x:v>共18条；“责任归属”是基于当前报告和2.0规范的测试侧初步判断，修复后应重新执行一键回归确认。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13" t="str">
        <x:v>序号</x:v>
      </x:c>
      <x:c r="B4" s="13" t="str">
        <x:v>用例ID</x:v>
      </x:c>
      <x:c r="C4" s="13" t="str">
        <x:v>结果</x:v>
      </x:c>
      <x:c r="D4" s="13" t="str">
        <x:v>功能模块</x:v>
      </x:c>
      <x:c r="E4" s="13" t="str">
        <x:v>直接现象/断言差异</x:v>
      </x:c>
      <x:c r="F4" s="13" t="str">
        <x:v>根因分类</x:v>
      </x:c>
      <x:c r="G4" s="13" t="str">
        <x:v>原因说明</x:v>
      </x:c>
      <x:c r="H4" s="13" t="str">
        <x:v>责任归属</x:v>
      </x:c>
      <x:c r="I4" s="13" t="str">
        <x:v>优先级</x:v>
      </x:c>
      <x:c r="J4" s="13" t="str">
        <x:v>建议处理</x:v>
      </x:c>
    </x:row>
    <x:row r="5" ht="58" customHeight="1">
      <x:c r="A5" s="52" t="n">
        <x:v>1</x:v>
      </x:c>
      <x:c r="B5" s="46" t="str">
        <x:v>Case_A4_001</x:v>
      </x:c>
      <x:c r="C5" s="61" t="str">
        <x:v>FAIL</x:v>
      </x:c>
      <x:c r="D5" s="46" t="str">
        <x:v>A4 回合控制与落点处理</x:v>
      </x:c>
      <x:c r="E5" s="46" t="str">
        <x:v>ASSERT_NOT_EQUAL；字段=actual.current_user；scalar not equal；期望="A"；实际="Q"</x:v>
      </x:c>
      <x:c r="F5" s="46" t="str">
        <x:v>测试步骤未处理落点提示</x:v>
      </x:c>
      <x:c r="G5" s="46" t="str">
        <x:v>Q从公园49 STEP 1后到达位置50的无主地产，当前回合停留在BUY提示，故current_user仍为Q；用例却直接期望切换到A。</x:v>
      </x:c>
      <x:c r="H5" s="46" t="str">
        <x:v>测试资产</x:v>
      </x:c>
      <x:c r="I5" s="61" t="str">
        <x:v>P1</x:v>
      </x:c>
      <x:c r="J5" s="46" t="str">
        <x:v>在STEP后补充ANSWER拒绝/购买，再断言切换到A；不能仅修改current_user期望来强行通过。</x:v>
      </x:c>
    </x:row>
    <x:row r="6" ht="58" customHeight="1">
      <x:c r="A6" s="53" t="n">
        <x:v>2</x:v>
      </x:c>
      <x:c r="B6" s="47" t="str">
        <x:v>Case_A5_002</x:v>
      </x:c>
      <x:c r="C6" s="62" t="str">
        <x:v>FAIL</x:v>
      </x:c>
      <x:c r="D6" s="47" t="str">
        <x:v>A5 地图显示</x:v>
      </x:c>
      <x:c r="E6" s="47" t="str">
        <x:v>ASSERT_NOT_EQUAL；字段=actual.display_cells；field missing in actual；期望=[{"position":10,"base_symbol":"2","visible_entity":"BASE"}]；实际=null</x:v>
      </x:c>
      <x:c r="F6" s="47" t="str">
        <x:v>Actual缺少display_cells</x:v>
      </x:c>
      <x:c r="G6" s="47" t="str">
        <x:v>2.0规范要求STATE Actual输出display_cells以验证底层格、玩家、道具和财神的显示覆盖关系；当前实际结果完全缺少该字段。</x:v>
      </x:c>
      <x:c r="H6" s="47" t="str">
        <x:v>开发/测试接口适配</x:v>
      </x:c>
      <x:c r="I6" s="62" t="str">
        <x:v>P1</x:v>
      </x:c>
      <x:c r="J6" s="47" t="str">
        <x:v>在 monopoly_test 的Actual序列化中输出按position组织的display_cells，并实现base_symbol、visible_symbol、visible_entity等字段。</x:v>
      </x:c>
    </x:row>
    <x:row r="7" ht="58" customHeight="1">
      <x:c r="A7" s="53" t="n">
        <x:v>3</x:v>
      </x:c>
      <x:c r="B7" s="47" t="str">
        <x:v>Case_A5_003</x:v>
      </x:c>
      <x:c r="C7" s="62" t="str">
        <x:v>FAIL</x:v>
      </x:c>
      <x:c r="D7" s="47" t="str">
        <x:v>A5 地图显示</x:v>
      </x:c>
      <x:c r="E7" s="47" t="str">
        <x:v>ASSERT_NOT_EQUAL；字段=actual.display_cells；field missing in actual；期望=[{"position":10,"base_symbol":"0","visible_entity":"BASE"}]；实际=null</x:v>
      </x:c>
      <x:c r="F7" s="47" t="str">
        <x:v>Actual缺少display_cells</x:v>
      </x:c>
      <x:c r="G7" s="47" t="str">
        <x:v>2.0规范要求STATE Actual输出display_cells以验证底层格、玩家、道具和财神的显示覆盖关系；当前实际结果完全缺少该字段。</x:v>
      </x:c>
      <x:c r="H7" s="47" t="str">
        <x:v>开发/测试接口适配</x:v>
      </x:c>
      <x:c r="I7" s="62" t="str">
        <x:v>P1</x:v>
      </x:c>
      <x:c r="J7" s="47" t="str">
        <x:v>在 monopoly_test 的Actual序列化中输出按position组织的display_cells，并实现base_symbol、visible_symbol、visible_entity等字段。</x:v>
      </x:c>
    </x:row>
    <x:row r="8" ht="58" customHeight="1">
      <x:c r="A8" s="53" t="n">
        <x:v>4</x:v>
      </x:c>
      <x:c r="B8" s="47" t="str">
        <x:v>Case_A5_004</x:v>
      </x:c>
      <x:c r="C8" s="62" t="str">
        <x:v>FAIL</x:v>
      </x:c>
      <x:c r="D8" s="47" t="str">
        <x:v>A5 地图显示</x:v>
      </x:c>
      <x:c r="E8" s="47" t="str">
        <x:v>ASSERT_NOT_EQUAL；字段=actual.display_cells；field missing in actual；期望=[{"position":30,"visible_symbol":"#","visible_entity":"MAP_ITEM"}]；实际=null</x:v>
      </x:c>
      <x:c r="F8" s="47" t="str">
        <x:v>Actual缺少display_cells</x:v>
      </x:c>
      <x:c r="G8" s="47" t="str">
        <x:v>2.0规范要求STATE Actual输出display_cells以验证底层格、玩家、道具和财神的显示覆盖关系；当前实际结果完全缺少该字段。</x:v>
      </x:c>
      <x:c r="H8" s="47" t="str">
        <x:v>开发/测试接口适配</x:v>
      </x:c>
      <x:c r="I8" s="62" t="str">
        <x:v>P1</x:v>
      </x:c>
      <x:c r="J8" s="47" t="str">
        <x:v>在 monopoly_test 的Actual序列化中输出按position组织的display_cells，并实现base_symbol、visible_symbol、visible_entity等字段。</x:v>
      </x:c>
    </x:row>
    <x:row r="9" ht="58" customHeight="1">
      <x:c r="A9" s="53" t="n">
        <x:v>5</x:v>
      </x:c>
      <x:c r="B9" s="47" t="str">
        <x:v>Case_A5_005</x:v>
      </x:c>
      <x:c r="C9" s="62" t="str">
        <x:v>FAIL</x:v>
      </x:c>
      <x:c r="D9" s="47" t="str">
        <x:v>A5 地图显示</x:v>
      </x:c>
      <x:c r="E9" s="47" t="str">
        <x:v>ASSERT_NOT_EQUAL；字段=actual.display_cells；field missing in actual；期望=[{"position":10,"visible_symbol":"Q","visible_entity":"PLAYER"}]；实际=null</x:v>
      </x:c>
      <x:c r="F9" s="47" t="str">
        <x:v>Actual缺少display_cells</x:v>
      </x:c>
      <x:c r="G9" s="47" t="str">
        <x:v>2.0规范要求STATE Actual输出display_cells以验证底层格、玩家、道具和财神的显示覆盖关系；当前实际结果完全缺少该字段。</x:v>
      </x:c>
      <x:c r="H9" s="47" t="str">
        <x:v>开发/测试接口适配</x:v>
      </x:c>
      <x:c r="I9" s="62" t="str">
        <x:v>P1</x:v>
      </x:c>
      <x:c r="J9" s="47" t="str">
        <x:v>在 monopoly_test 的Actual序列化中输出按position组织的display_cells，并实现base_symbol、visible_symbol、visible_entity等字段。</x:v>
      </x:c>
    </x:row>
    <x:row r="10" ht="58" customHeight="1">
      <x:c r="A10" s="53" t="n">
        <x:v>6</x:v>
      </x:c>
      <x:c r="B10" s="47" t="str">
        <x:v>Case_A10_014</x:v>
      </x:c>
      <x:c r="C10" s="62" t="str">
        <x:v>FAIL</x:v>
      </x:c>
      <x:c r="D10" s="47" t="str">
        <x:v>A10 收取过路费</x:v>
      </x:c>
      <x:c r="E10" s="47" t="str">
        <x:v>ASSERT_NOT_EQUAL；字段=actual.players[id=A].fund；scalar not equal；期望=5000；实际=4000
ASSERT_NOT_EQUAL；字段=actual.players[id=S].fund；scalar not equal；期望=5000；实际=6000</x:v>
      </x:c>
      <x:c r="F10" s="47" t="str">
        <x:v>JSON期望值转换错误</x:v>
      </x:c>
      <x:c r="G10" s="47" t="str">
        <x:v>原Excel/source_trace明确要求支付对应过路费，实际资金变化也符合该本意；但活动JSON的expected仍把双方资金写成移动前数值5000，语义在转换时被压平。</x:v>
      </x:c>
      <x:c r="H10" s="47" t="str">
        <x:v>测试资产</x:v>
      </x:c>
      <x:c r="I10" s="62" t="str">
        <x:v>P1</x:v>
      </x:c>
      <x:c r="J10" s="47" t="str">
        <x:v>按原Excel本意修复JSON expected资金：A10_014=4000/6000，A10_015=4700/5300，A10_017=4250/5750，A10_018=4400/5600。</x:v>
      </x:c>
    </x:row>
    <x:row r="11" ht="58" customHeight="1">
      <x:c r="A11" s="53" t="n">
        <x:v>7</x:v>
      </x:c>
      <x:c r="B11" s="47" t="str">
        <x:v>Case_A10_015</x:v>
      </x:c>
      <x:c r="C11" s="62" t="str">
        <x:v>FAIL</x:v>
      </x:c>
      <x:c r="D11" s="47" t="str">
        <x:v>A10 收取过路费</x:v>
      </x:c>
      <x:c r="E11" s="47" t="str">
        <x:v>ASSERT_NOT_EQUAL；字段=actual.players[id=S].fund；scalar not equal；期望=5000；实际=4700
ASSERT_NOT_EQUAL；字段=actual.players[id=J].fund；scalar not equal；期望=5000；实际=5300</x:v>
      </x:c>
      <x:c r="F11" s="47" t="str">
        <x:v>JSON期望值转换错误</x:v>
      </x:c>
      <x:c r="G11" s="47" t="str">
        <x:v>原Excel/source_trace明确要求支付对应过路费，实际资金变化也符合该本意；但活动JSON的expected仍把双方资金写成移动前数值5000，语义在转换时被压平。</x:v>
      </x:c>
      <x:c r="H11" s="47" t="str">
        <x:v>测试资产</x:v>
      </x:c>
      <x:c r="I11" s="62" t="str">
        <x:v>P1</x:v>
      </x:c>
      <x:c r="J11" s="47" t="str">
        <x:v>按原Excel本意修复JSON expected资金：A10_014=4000/6000，A10_015=4700/5300，A10_017=4250/5750，A10_018=4400/5600。</x:v>
      </x:c>
    </x:row>
    <x:row r="12" ht="58" customHeight="1">
      <x:c r="A12" s="53" t="n">
        <x:v>8</x:v>
      </x:c>
      <x:c r="B12" s="47" t="str">
        <x:v>Case_A10_017</x:v>
      </x:c>
      <x:c r="C12" s="62" t="str">
        <x:v>FAIL</x:v>
      </x:c>
      <x:c r="D12" s="47" t="str">
        <x:v>A10 收取过路费</x:v>
      </x:c>
      <x:c r="E12" s="47" t="str">
        <x:v>ASSERT_NOT_EQUAL；字段=actual.players[id=Q].fund；scalar not equal；期望=5000；实际=4250
ASSERT_NOT_EQUAL；字段=actual.players[id=A].fund；scalar not equal；期望=5000；实际=5750</x:v>
      </x:c>
      <x:c r="F12" s="47" t="str">
        <x:v>JSON期望值转换错误</x:v>
      </x:c>
      <x:c r="G12" s="47" t="str">
        <x:v>原Excel/source_trace明确要求支付对应过路费，实际资金变化也符合该本意；但活动JSON的expected仍把双方资金写成移动前数值5000，语义在转换时被压平。</x:v>
      </x:c>
      <x:c r="H12" s="47" t="str">
        <x:v>测试资产</x:v>
      </x:c>
      <x:c r="I12" s="62" t="str">
        <x:v>P1</x:v>
      </x:c>
      <x:c r="J12" s="47" t="str">
        <x:v>按原Excel本意修复JSON expected资金：A10_014=4000/6000，A10_015=4700/5300，A10_017=4250/5750，A10_018=4400/5600。</x:v>
      </x:c>
    </x:row>
    <x:row r="13" ht="58" customHeight="1">
      <x:c r="A13" s="53" t="n">
        <x:v>9</x:v>
      </x:c>
      <x:c r="B13" s="47" t="str">
        <x:v>Case_A10_018</x:v>
      </x:c>
      <x:c r="C13" s="62" t="str">
        <x:v>FAIL</x:v>
      </x:c>
      <x:c r="D13" s="47" t="str">
        <x:v>A10 收取过路费</x:v>
      </x:c>
      <x:c r="E13" s="47" t="str">
        <x:v>ASSERT_NOT_EQUAL；字段=actual.players[id=J].fund；scalar not equal；期望=5000；实际=4400
ASSERT_NOT_EQUAL；字段=actual.players[id=Q].fund；scalar not equal；期望=5000；实际=5600</x:v>
      </x:c>
      <x:c r="F13" s="47" t="str">
        <x:v>JSON期望值转换错误</x:v>
      </x:c>
      <x:c r="G13" s="47" t="str">
        <x:v>原Excel/source_trace明确要求支付对应过路费，实际资金变化也符合该本意；但活动JSON的expected仍把双方资金写成移动前数值5000，语义在转换时被压平。</x:v>
      </x:c>
      <x:c r="H13" s="47" t="str">
        <x:v>测试资产</x:v>
      </x:c>
      <x:c r="I13" s="62" t="str">
        <x:v>P1</x:v>
      </x:c>
      <x:c r="J13" s="47" t="str">
        <x:v>按原Excel本意修复JSON expected资金：A10_014=4000/6000，A10_015=4700/5300，A10_017=4250/5750，A10_018=4400/5600。</x:v>
      </x:c>
    </x:row>
    <x:row r="14" ht="58" customHeight="1">
      <x:c r="A14" s="53" t="n">
        <x:v>10</x:v>
      </x:c>
      <x:c r="B14" s="47" t="str">
        <x:v>Case_A14_010</x:v>
      </x:c>
      <x:c r="C14" s="62" t="str">
        <x:v>FAIL</x:v>
      </x:c>
      <x:c r="D14" s="47" t="str">
        <x:v>A14 财神随机出现与获取</x:v>
      </x:c>
      <x:c r="E14" s="47" t="str">
        <x:v>ASSERT_NOT_EQUAL；字段=actual.fortune；field missing in actual；期望={"position":null}；实际=null
ASSERT_NOT_EQUAL；字段=actual.players[id=Q].fund；scalar not equal；期望=1000；实际=900
ASSERT_NOT_EQUAL；字段=actual.players[id=Q].god_of_wealth_rounds；scalar not equal；期望=5；实际=0
ASSERT_NOT_EQUAL；字段=actual.players[id=A].fund；scalar not equal；期望=1000；实际=1100</x:v>
      </x:c>
      <x:c r="F14" s="47" t="str">
        <x:v>财神领取与免租未接入</x:v>
      </x:c>
      <x:c r="G14" s="47" t="str">
        <x:v>玩家经过预置F后，Actual没有fortune字段，god_of_wealth_rounds仍为0且照常扣租，说明财神领取、地图移除及当轮免租链路尚未实现或未接入STATE测试入口。</x:v>
      </x:c>
      <x:c r="H14" s="47" t="str">
        <x:v>开发逻辑/测试接口</x:v>
      </x:c>
      <x:c r="I14" s="62" t="str">
        <x:v>P0</x:v>
      </x:c>
      <x:c r="J14" s="47" t="str">
        <x:v>实现/接入经过F立即领取、状态设为5、F从地图消失，并在同一次移动的租金结算前生效。</x:v>
      </x:c>
    </x:row>
    <x:row r="15" ht="58" customHeight="1">
      <x:c r="A15" s="53" t="n">
        <x:v>11</x:v>
      </x:c>
      <x:c r="B15" s="47" t="str">
        <x:v>Case_A15_003</x:v>
      </x:c>
      <x:c r="C15" s="62" t="str">
        <x:v>FAIL</x:v>
      </x:c>
      <x:c r="D15" s="47" t="str">
        <x:v>A15 礼品屋</x:v>
      </x:c>
      <x:c r="E15" s="47" t="str">
        <x:v>ASSERT_NOT_EQUAL；字段=actual.players[id=Q].god_of_wealth_rounds；scalar not equal；期望=5；实际=0</x:v>
      </x:c>
      <x:c r="F15" s="47" t="str">
        <x:v>礼品屋财神奖励未实现</x:v>
      </x:c>
      <x:c r="G15" s="47" t="str">
        <x:v>选择礼品3后 god_of_wealth_rounds 仍为0，未获得预期的5回合财神状态；移动和提示回答本身已执行。</x:v>
      </x:c>
      <x:c r="H15" s="47" t="str">
        <x:v>开发逻辑</x:v>
      </x:c>
      <x:c r="I15" s="62" t="str">
        <x:v>P1</x:v>
      </x:c>
      <x:c r="J15" s="47" t="str">
        <x:v>核对礼品编号3的定义并实现财神奖励；获得后立即将god_of_wealth_rounds设为5。</x:v>
      </x:c>
    </x:row>
    <x:row r="16" ht="58" customHeight="1">
      <x:c r="A16" s="53" t="n">
        <x:v>12</x:v>
      </x:c>
      <x:c r="B16" s="47" t="str">
        <x:v>Case_A16_001</x:v>
      </x:c>
      <x:c r="C16" s="62" t="str">
        <x:v>FAIL</x:v>
      </x:c>
      <x:c r="D16" s="47" t="str">
        <x:v>A16 公园</x:v>
      </x:c>
      <x:c r="E16" s="47" t="str">
        <x:v>ASSERT_NOT_EQUAL；字段=actual.display_cells；field missing in actual；期望=[{"position":14,"base_type":"PARK","base_symbol":"P","visible_symbol":"P","visible_entity":"BASE"}]；实际=null</x:v>
      </x:c>
      <x:c r="F16" s="47" t="str">
        <x:v>Actual缺少display_cells</x:v>
      </x:c>
      <x:c r="G16" s="47" t="str">
        <x:v>2.0规范要求STATE Actual输出display_cells以验证底层格、玩家、道具和财神的显示覆盖关系；当前实际结果完全缺少该字段。</x:v>
      </x:c>
      <x:c r="H16" s="47" t="str">
        <x:v>开发/测试接口适配</x:v>
      </x:c>
      <x:c r="I16" s="62" t="str">
        <x:v>P1</x:v>
      </x:c>
      <x:c r="J16" s="47" t="str">
        <x:v>在 monopoly_test 的Actual序列化中输出按position组织的display_cells，并实现base_symbol、visible_symbol、visible_entity等字段。</x:v>
      </x:c>
    </x:row>
    <x:row r="17" ht="58" customHeight="1">
      <x:c r="A17" s="53" t="n">
        <x:v>13</x:v>
      </x:c>
      <x:c r="B17" s="47" t="str">
        <x:v>Case_A16_002</x:v>
      </x:c>
      <x:c r="C17" s="62" t="str">
        <x:v>FAIL</x:v>
      </x:c>
      <x:c r="D17" s="47" t="str">
        <x:v>A16 公园</x:v>
      </x:c>
      <x:c r="E17" s="47" t="str">
        <x:v>ASSERT_NOT_EQUAL；字段=actual.display_cells；field missing in actual；期望=[{"position":49,"base_type":"PARK","base_symbol":"P","visible_symbol":"P","visible_entity":"BASE"}]；实际=null</x:v>
      </x:c>
      <x:c r="F17" s="47" t="str">
        <x:v>Actual缺少display_cells</x:v>
      </x:c>
      <x:c r="G17" s="47" t="str">
        <x:v>2.0规范要求STATE Actual输出display_cells以验证底层格、玩家、道具和财神的显示覆盖关系；当前实际结果完全缺少该字段。</x:v>
      </x:c>
      <x:c r="H17" s="47" t="str">
        <x:v>开发/测试接口适配</x:v>
      </x:c>
      <x:c r="I17" s="62" t="str">
        <x:v>P1</x:v>
      </x:c>
      <x:c r="J17" s="47" t="str">
        <x:v>在 monopoly_test 的Actual序列化中输出按position组织的display_cells，并实现base_symbol、visible_symbol、visible_entity等字段。</x:v>
      </x:c>
    </x:row>
    <x:row r="18" ht="58" customHeight="1">
      <x:c r="A18" s="53" t="n">
        <x:v>14</x:v>
      </x:c>
      <x:c r="B18" s="47" t="str">
        <x:v>Case_A16_003</x:v>
      </x:c>
      <x:c r="C18" s="62" t="str">
        <x:v>FAIL</x:v>
      </x:c>
      <x:c r="D18" s="47" t="str">
        <x:v>A16 公园</x:v>
      </x:c>
      <x:c r="E18" s="47" t="str">
        <x:v>ASSERT_NOT_EQUAL；字段=actual.display_cells；field missing in actual；期望=[{"position":63,"base_type":"PARK","base_symbol":"P","visible_symbol":"P","visible_entity":"BASE"}]；实际=null</x:v>
      </x:c>
      <x:c r="F18" s="47" t="str">
        <x:v>Actual缺少display_cells</x:v>
      </x:c>
      <x:c r="G18" s="47" t="str">
        <x:v>2.0规范要求STATE Actual输出display_cells以验证底层格、玩家、道具和财神的显示覆盖关系；当前实际结果完全缺少该字段。</x:v>
      </x:c>
      <x:c r="H18" s="47" t="str">
        <x:v>开发/测试接口适配</x:v>
      </x:c>
      <x:c r="I18" s="62" t="str">
        <x:v>P1</x:v>
      </x:c>
      <x:c r="J18" s="47" t="str">
        <x:v>在 monopoly_test 的Actual序列化中输出按position组织的display_cells，并实现base_symbol、visible_symbol、visible_entity等字段。</x:v>
      </x:c>
    </x:row>
    <x:row r="19" ht="58" customHeight="1">
      <x:c r="A19" s="53" t="n">
        <x:v>15</x:v>
      </x:c>
      <x:c r="B19" s="47" t="str">
        <x:v>Case_A16_007</x:v>
      </x:c>
      <x:c r="C19" s="62" t="str">
        <x:v>FAIL</x:v>
      </x:c>
      <x:c r="D19" s="47" t="str">
        <x:v>A16 公园</x:v>
      </x:c>
      <x:c r="E19" s="47" t="str">
        <x:v>ASSERT_NOT_EQUAL；字段=actual.display_cells；field missing in actual；期望=[{"position":14,"base_type":"PARK","visible_symbol":"P","visible_entity":"BASE"}]；实际=null</x:v>
      </x:c>
      <x:c r="F19" s="47" t="str">
        <x:v>Actual缺少display_cells</x:v>
      </x:c>
      <x:c r="G19" s="47" t="str">
        <x:v>2.0规范要求STATE Actual输出display_cells以验证底层格、玩家、道具和财神的显示覆盖关系；当前实际结果完全缺少该字段。</x:v>
      </x:c>
      <x:c r="H19" s="47" t="str">
        <x:v>开发/测试接口适配</x:v>
      </x:c>
      <x:c r="I19" s="62" t="str">
        <x:v>P1</x:v>
      </x:c>
      <x:c r="J19" s="47" t="str">
        <x:v>在 monopoly_test 的Actual序列化中输出按position组织的display_cells，并实现base_symbol、visible_symbol、visible_entity等字段。</x:v>
      </x:c>
    </x:row>
    <x:row r="20" ht="58" customHeight="1">
      <x:c r="A20" s="53" t="n">
        <x:v>16</x:v>
      </x:c>
      <x:c r="B20" s="47" t="str">
        <x:v>Case_A18_005</x:v>
      </x:c>
      <x:c r="C20" s="62" t="str">
        <x:v>FAIL</x:v>
      </x:c>
      <x:c r="D20" s="47" t="str">
        <x:v>A18 Step遥控骰子</x:v>
      </x:c>
      <x:c r="E20" s="47" t="str">
        <x:v>ASSERT_NOT_EQUAL；字段=actual.phase；scalar not equal；期望="PROMPT"；实际="COMMAND"
ASSERT_NOT_EQUAL；字段=actual.pending_prompt；scalar not equal；期望="TOOL_SHOP"；实际=null</x:v>
      </x:c>
      <x:c r="F20" s="47" t="str">
        <x:v>道具屋落点未触发PROMPT</x:v>
      </x:c>
      <x:c r="G20" s="47" t="str">
        <x:v>玩家最终位置应为地图28（TOOL_SHOP），但Actual保持COMMAND且pending_prompt=null，说明落点事件没有进入TOOL_SHOP提示。</x:v>
      </x:c>
      <x:c r="H20" s="47" t="str">
        <x:v>开发逻辑/地图事件接入</x:v>
      </x:c>
      <x:c r="I20" s="62" t="str">
        <x:v>P1</x:v>
      </x:c>
      <x:c r="J20" s="47" t="str">
        <x:v>核对位置28地图类型和STEP落点事件分发；到达道具屋时设置phase=PROMPT、pending_prompt=TOOL_SHOP。</x:v>
      </x:c>
    </x:row>
    <x:row r="21" ht="58" customHeight="1">
      <x:c r="A21" s="53" t="n">
        <x:v>17</x:v>
      </x:c>
      <x:c r="B21" s="47" t="str">
        <x:v>Case_A18_027</x:v>
      </x:c>
      <x:c r="C21" s="62" t="str">
        <x:v>FAIL</x:v>
      </x:c>
      <x:c r="D21" s="47" t="str">
        <x:v>A18 Step遥控骰子</x:v>
      </x:c>
      <x:c r="E21" s="47" t="str">
        <x:v>ASSERT_NOT_EQUAL；字段=actual.phase；scalar not equal；期望="PROMPT"；实际="COMMAND"
ASSERT_NOT_EQUAL；字段=actual.pending_prompt；scalar not equal；期望="TOOL_SHOP"；实际=null</x:v>
      </x:c>
      <x:c r="F21" s="47" t="str">
        <x:v>道具屋落点未触发PROMPT</x:v>
      </x:c>
      <x:c r="G21" s="47" t="str">
        <x:v>玩家最终位置应为地图28（TOOL_SHOP），但Actual保持COMMAND且pending_prompt=null，说明落点事件没有进入TOOL_SHOP提示。</x:v>
      </x:c>
      <x:c r="H21" s="47" t="str">
        <x:v>开发逻辑/地图事件接入</x:v>
      </x:c>
      <x:c r="I21" s="62" t="str">
        <x:v>P1</x:v>
      </x:c>
      <x:c r="J21" s="47" t="str">
        <x:v>核对位置28地图类型和STEP落点事件分发；到达道具屋时设置phase=PROMPT、pending_prompt=TOOL_SHOP。</x:v>
      </x:c>
    </x:row>
    <x:row r="22" ht="58" customHeight="1">
      <x:c r="A22" s="54" t="n">
        <x:v>18</x:v>
      </x:c>
      <x:c r="B22" s="48" t="str">
        <x:v>Case_A21_028</x:v>
      </x:c>
      <x:c r="C22" s="63" t="str">
        <x:v>FAIL</x:v>
      </x:c>
      <x:c r="D22" s="48" t="str">
        <x:v>A21 资金低于零破产</x:v>
      </x:c>
      <x:c r="E22" s="48" t="str">
        <x:v>ASSERT_NOT_EQUAL；字段=actual.players[id=Q].fund；scalar not equal；期望=100；实际=-100
ASSERT_NOT_EQUAL；字段=actual.players[id=Q].status；scalar not equal；期望="NORMAL"；实际="BANKRUPT"
ASSERT_NOT_EQUAL；字段=actual.players[id=Q].god_of_wealth_rounds；scalar not equal；期望=5；实际=0
ASSERT_NOT_EQUAL；字段=actual.players[id=A].fund；scalar not equal；期望=1000；实际=1100
ASSERT_NOT_EQUAL；字段=actual.fortune；field missing in actual；期望={"position":null}；实际=null</x:v>
      </x:c>
      <x:c r="F22" s="48" t="str">
        <x:v>财神领取与免租未接入</x:v>
      </x:c>
      <x:c r="G22" s="48" t="str">
        <x:v>玩家经过预置F后，Actual没有fortune字段，god_of_wealth_rounds仍为0且照常扣租，说明财神领取、地图移除及当轮免租链路尚未实现或未接入STATE测试入口。</x:v>
      </x:c>
      <x:c r="H22" s="48" t="str">
        <x:v>开发逻辑/测试接口</x:v>
      </x:c>
      <x:c r="I22" s="63" t="str">
        <x:v>P0</x:v>
      </x:c>
      <x:c r="J22" s="48" t="str">
        <x:v>实现/接入经过F立即领取、状态设为5、F从地图消失，并在同一次移动的租金结算前生效。</x:v>
      </x:c>
    </x:row>
  </x:sheetData>
  <x:mergeCells>
    <x:mergeCell ref="A1:J1"/>
    <x:mergeCell ref="A2:J2"/>
  </x:mergeCells>
  <x:conditionalFormatting sqref="C5:C22">
    <x:cfRule type="containsText" dxfId="6" priority="1" operator="containsText" text="ERROR"/>
    <x:cfRule type="containsText" dxfId="7" priority="2" operator="containsText" text="FAIL"/>
  </x:conditionalFormatting>
  <x:conditionalFormatting sqref="I5:I22">
    <x:cfRule type="containsText" dxfId="8" priority="3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c130a2eaf6784074"/>
  </x:tableParts>
</x:worksheet>
</file>